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dev\Claude\02_CASOS\operacoes\template_precatorio\"/>
    </mc:Choice>
  </mc:AlternateContent>
  <xr:revisionPtr revIDLastSave="0" documentId="13_ncr:1_{3AD393CF-2853-438F-9BFC-5F59BB15AC79}" xr6:coauthVersionLast="47" xr6:coauthVersionMax="47" xr10:uidLastSave="{00000000-0000-0000-0000-000000000000}"/>
  <bookViews>
    <workbookView xWindow="-110" yWindow="-110" windowWidth="23260" windowHeight="14860" xr2:uid="{00000000-000D-0000-FFFF-FFFF00000000}"/>
  </bookViews>
  <sheets>
    <sheet name="Painel" sheetId="1" r:id="rId1"/>
    <sheet name="Aux" sheetId="2" r:id="rId2"/>
    <sheet name="Motor" sheetId="3" r:id="rId3"/>
    <sheet name="Sensibilidades" sheetId="4" r:id="rId4"/>
    <sheet name="Feriados" sheetId="5" state="hidden" r:id="rId5"/>
  </sheets>
  <functionGroups builtInGroupCount="19"/>
  <definedNames>
    <definedName name="_xlnm._FilterDatabase" localSheetId="4" hidden="1">Feriados!$A$1:$C$1274</definedName>
    <definedName name="_xleta.MONTH" hidden="1" xlm="1">#NAME?</definedName>
    <definedName name="_xleta.TRANSPOSE" hidden="1" xlm="1">#NAME?</definedName>
    <definedName name="_xleta.UNIQUE" hidden="1" xlm="1">#NAME?</definedName>
    <definedName name="_xleta.VALUE" hidden="1" xlm="1">#NAME?</definedName>
    <definedName name="_xlpm.a" hidden="1" xlm="1">#NAME?</definedName>
    <definedName name="_xlpm.am" hidden="1" xlm="1">#NAME?</definedName>
    <definedName name="_xlpm.beta" hidden="1" xlm="1">#NAME?</definedName>
    <definedName name="_xlpm.beta1" hidden="1" xlm="1">#NAME?</definedName>
    <definedName name="_xlpm.beta2" hidden="1" xlm="1">#NAME?</definedName>
    <definedName name="_xlpm.beta3" hidden="1" xlm="1">#NAME?</definedName>
    <definedName name="_xlpm.beta4" hidden="1" xlm="1">#NAME?</definedName>
    <definedName name="_xlpm.d" hidden="1" xlm="1">#NAME?</definedName>
    <definedName name="_xlpm.da" hidden="1" xlm="1">#NAME?</definedName>
    <definedName name="_xlpm.dat" hidden="1" xlm="1">#NAME?</definedName>
    <definedName name="_xlpm.data" hidden="1" xlm="1">#NAME?</definedName>
    <definedName name="_xlpm.dataR" hidden="1" xlm="1">#NAME?</definedName>
    <definedName name="_xlpm.dataRE" hidden="1" xlm="1">#NAME?</definedName>
    <definedName name="_xlpm.dataRef" hidden="1" xlm="1">#NAME?</definedName>
    <definedName name="_xlpm.duration" hidden="1" xlm="1">#NAME?</definedName>
    <definedName name="_xlpm.l" hidden="1" xlm="1">#NAME?</definedName>
    <definedName name="_xlpm.la" hidden="1" xlm="1">#NAME?</definedName>
    <definedName name="_xlpm.lam" hidden="1" xlm="1">#NAME?</definedName>
    <definedName name="_xlpm.lamb" hidden="1" xlm="1">#NAME?</definedName>
    <definedName name="_xlpm.lamb1" hidden="1" xlm="1">#NAME?</definedName>
    <definedName name="_xlpm.lambd" hidden="1" xlm="1">#NAME?</definedName>
    <definedName name="_xlpm.lambd1" hidden="1" xlm="1">#NAME?</definedName>
    <definedName name="_xlpm.lambda" hidden="1" xlm="1">#NAME?</definedName>
    <definedName name="_xlpm.lambda1" hidden="1" xlm="1">#NAME?</definedName>
    <definedName name="_xlpm.lambda2" hidden="1" xlm="1">#NAME?</definedName>
    <definedName name="_xlpm.nsJuros" hidden="1" xlm="1">#NAME?</definedName>
    <definedName name="_xlpm.rating" hidden="1" xlm="1">#NAME?</definedName>
    <definedName name="_xlpm.t" hidden="1" xlm="1">#NAME?</definedName>
    <definedName name="_xlpm.value" hidden="1" xlm="1">#NAME?</definedName>
    <definedName name="Ativo">Motor!$1:$1048576</definedName>
    <definedName name="beta1_IPCA">Aux!$H$3</definedName>
    <definedName name="beta1_pre">Aux!$I$3</definedName>
    <definedName name="beta2_IPCA">Aux!$H$4</definedName>
    <definedName name="beta2_pre">Aux!$I$4</definedName>
    <definedName name="beta3_IPCA">Aux!$H$5</definedName>
    <definedName name="beta3_pre">Aux!$I$5</definedName>
    <definedName name="beta4_IPCA">Aux!$H$6</definedName>
    <definedName name="beta4_pre">Aux!$I$6</definedName>
    <definedName name="bullet_data">Painel!$C$19</definedName>
    <definedName name="eo_ate">Painel!$C$43:$C$48</definedName>
    <definedName name="eo_de">Painel!$B$43:$B$48</definedName>
    <definedName name="eo_pct">Painel!$D$43:$D$48</definedName>
    <definedName name="eo_zera_data">Aux!$R$17</definedName>
    <definedName name="eo_zera_ncols">Aux!$R$16</definedName>
    <definedName name="eo_zera_npos">Aux!$R$15</definedName>
    <definedName name="feriado">Feriados!$A$2:$A$1265</definedName>
    <definedName name="header_ativo">Motor!$2:$2</definedName>
    <definedName name="in_acordo">Painel!$C$7</definedName>
    <definedName name="in_acordo_fator">Painel!$C$51</definedName>
    <definedName name="in_acordo_prazo">Painel!$C$52</definedName>
    <definedName name="in_causa">Painel!$C$11</definedName>
    <definedName name="in_corr_pre">Painel!$C$23</definedName>
    <definedName name="in_corr_pre_idx">Painel!$C$22</definedName>
    <definedName name="in_corr_prec_idx">Painel!$C$13</definedName>
    <definedName name="in_corr_prec_spread">Painel!$C$14</definedName>
    <definedName name="in_data_calculo">Painel!$G$2</definedName>
    <definedName name="in_data_inicio">Painel!$C$15</definedName>
    <definedName name="in_database">Painel!$C$17</definedName>
    <definedName name="in_e_precatorio">Painel!$C$4</definedName>
    <definedName name="in_eo_idx">Painel!$C$38</definedName>
    <definedName name="in_eo_on">Painel!$C$6</definedName>
    <definedName name="in_eo_spread">Painel!$C$39</definedName>
    <definedName name="in_eo2_mes">Painel!$C$41</definedName>
    <definedName name="in_eo2_valor">Painel!$C$40</definedName>
    <definedName name="in_face">Painel!$C$10</definedName>
    <definedName name="in_ipca_manual">Painel!$C$56</definedName>
    <definedName name="in_ipca_modo">Painel!$C$55</definedName>
    <definedName name="in_n_parcelas">Painel!$C$26</definedName>
    <definedName name="in_nome_credito">Painel!$C$2</definedName>
    <definedName name="in_pgto_modo">Painel!$C$5</definedName>
    <definedName name="in_prazo">Painel!$C$12</definedName>
    <definedName name="in_tir_alvo">Painel!$C$57</definedName>
    <definedName name="in_valor_pagar">Painel!$C$25</definedName>
    <definedName name="in_vira_meses">Painel!$C$21</definedName>
    <definedName name="label_ativo">Motor!$B:$B</definedName>
    <definedName name="lambida1_IPCA">Aux!$H$7</definedName>
    <definedName name="lambida1_pre">Aux!$I$7</definedName>
    <definedName name="lambida2_IPCA">Aux!$H$8</definedName>
    <definedName name="lambida2_pre">Aux!$I$8</definedName>
    <definedName name="parc_data">Painel!$B$27:$B$36</definedName>
    <definedName name="parc_valor">Painel!$C$27:$C$36</definedName>
    <definedName name="sens_eof">Sensibilidades!$C$7</definedName>
    <definedName name="sens_prazo_abs">Sensibilidades!$C$8</definedName>
    <definedName name="sens_prazo_delta">Sensibilidades!$C$5</definedName>
    <definedName name="sens_pricef">Sensibilidades!$C$6</definedName>
    <definedName name="vira_data">Painel!$C$18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3" l="1"/>
  <c r="C22" i="3"/>
  <c r="B11" i="1"/>
  <c r="B9" i="1"/>
  <c r="R16" i="2"/>
  <c r="C15" i="1"/>
  <c r="D27" i="1"/>
  <c r="D19" i="3"/>
  <c r="G2" i="1"/>
  <c r="G18" i="1"/>
  <c r="G15" i="1"/>
  <c r="O10" i="1"/>
  <c r="N10" i="1"/>
  <c r="M10" i="1"/>
  <c r="L10" i="1"/>
  <c r="K10" i="1"/>
  <c r="O9" i="1"/>
  <c r="N9" i="1"/>
  <c r="M9" i="1"/>
  <c r="L9" i="1"/>
  <c r="K9" i="1"/>
  <c r="O8" i="1"/>
  <c r="N8" i="1"/>
  <c r="M8" i="1"/>
  <c r="L8" i="1"/>
  <c r="K8" i="1"/>
  <c r="O7" i="1"/>
  <c r="N7" i="1"/>
  <c r="M7" i="1"/>
  <c r="L7" i="1"/>
  <c r="K7" i="1"/>
  <c r="O6" i="1"/>
  <c r="N6" i="1"/>
  <c r="M6" i="1"/>
  <c r="L6" i="1"/>
  <c r="K6" i="1"/>
  <c r="O5" i="1"/>
  <c r="N5" i="1"/>
  <c r="M5" i="1"/>
  <c r="L5" i="1"/>
  <c r="K5" i="1"/>
  <c r="F5" i="4"/>
  <c r="C18" i="3"/>
  <c r="D64" i="3"/>
  <c r="C64" i="3"/>
  <c r="D46" i="3"/>
  <c r="C46" i="3"/>
  <c r="D21" i="3"/>
  <c r="C21" i="3"/>
  <c r="D20" i="3"/>
  <c r="C20" i="3"/>
  <c r="C19" i="3"/>
  <c r="C14" i="3"/>
  <c r="E1" i="3"/>
  <c r="I8" i="2"/>
  <c r="H8" i="2"/>
  <c r="I7" i="2"/>
  <c r="H7" i="2"/>
  <c r="I6" i="2"/>
  <c r="H6" i="2"/>
  <c r="I5" i="2"/>
  <c r="H5" i="2"/>
  <c r="I4" i="2"/>
  <c r="H4" i="2"/>
  <c r="I3" i="2"/>
  <c r="H3" i="2"/>
  <c r="A3" i="2"/>
  <c r="G2" i="2"/>
  <c r="C17" i="1"/>
  <c r="R10" i="1"/>
  <c r="Q10" i="1"/>
  <c r="R9" i="1"/>
  <c r="Q9" i="1"/>
  <c r="R8" i="1"/>
  <c r="Q8" i="1"/>
  <c r="R7" i="1"/>
  <c r="Q7" i="1"/>
  <c r="R6" i="1"/>
  <c r="Q6" i="1"/>
  <c r="E19" i="3" l="1"/>
  <c r="F6" i="4"/>
  <c r="C18" i="1"/>
  <c r="D2" i="3"/>
  <c r="C2" i="2"/>
  <c r="B2" i="2"/>
  <c r="E64" i="3"/>
  <c r="C23" i="3"/>
  <c r="E21" i="3"/>
  <c r="E20" i="3"/>
  <c r="F1" i="3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C3" i="2"/>
  <c r="B3" i="2"/>
  <c r="B13" i="4" l="1"/>
  <c r="J7" i="1" s="1"/>
  <c r="B14" i="4"/>
  <c r="J8" i="1" s="1"/>
  <c r="B15" i="4"/>
  <c r="J9" i="1" s="1"/>
  <c r="B16" i="4"/>
  <c r="J10" i="1" s="1"/>
  <c r="B12" i="4"/>
  <c r="J6" i="1" s="1"/>
  <c r="D2" i="2"/>
  <c r="C21" i="2"/>
  <c r="C16" i="2"/>
  <c r="C19" i="2"/>
  <c r="B21" i="2"/>
  <c r="C20" i="2"/>
  <c r="B20" i="2"/>
  <c r="B19" i="2"/>
  <c r="C18" i="2"/>
  <c r="B18" i="2"/>
  <c r="C17" i="2"/>
  <c r="B17" i="2"/>
  <c r="E25" i="3"/>
  <c r="E2" i="3"/>
  <c r="G1" i="3"/>
  <c r="F64" i="3"/>
  <c r="C19" i="1"/>
  <c r="G10" i="1" s="1"/>
  <c r="C17" i="3"/>
  <c r="B16" i="2"/>
  <c r="C15" i="2"/>
  <c r="B15" i="2"/>
  <c r="C14" i="2"/>
  <c r="B14" i="2"/>
  <c r="C13" i="2"/>
  <c r="B13" i="2"/>
  <c r="C12" i="2"/>
  <c r="B12" i="2"/>
  <c r="C11" i="2"/>
  <c r="B11" i="2"/>
  <c r="C10" i="2"/>
  <c r="B10" i="2"/>
  <c r="C9" i="2"/>
  <c r="B9" i="2"/>
  <c r="C8" i="2"/>
  <c r="B8" i="2"/>
  <c r="C7" i="2"/>
  <c r="B7" i="2"/>
  <c r="C6" i="2"/>
  <c r="B6" i="2"/>
  <c r="C5" i="2"/>
  <c r="B5" i="2"/>
  <c r="C4" i="2"/>
  <c r="B4" i="2"/>
  <c r="D3" i="2"/>
  <c r="E49" i="3" l="1"/>
  <c r="E3" i="3"/>
  <c r="E4" i="3"/>
  <c r="D19" i="2"/>
  <c r="D7" i="2"/>
  <c r="D17" i="2"/>
  <c r="D18" i="2"/>
  <c r="D14" i="2"/>
  <c r="D5" i="2"/>
  <c r="D21" i="2"/>
  <c r="D20" i="2"/>
  <c r="D16" i="2"/>
  <c r="D15" i="2"/>
  <c r="F2" i="3"/>
  <c r="E5" i="3"/>
  <c r="E27" i="3"/>
  <c r="E28" i="3"/>
  <c r="E38" i="3"/>
  <c r="H1" i="3"/>
  <c r="G64" i="3"/>
  <c r="D8" i="2"/>
  <c r="D12" i="2"/>
  <c r="D10" i="2"/>
  <c r="D4" i="2"/>
  <c r="D6" i="2"/>
  <c r="D11" i="2"/>
  <c r="D13" i="2"/>
  <c r="D9" i="2"/>
  <c r="F49" i="3" l="1"/>
  <c r="F4" i="3"/>
  <c r="E29" i="3"/>
  <c r="G2" i="3"/>
  <c r="F5" i="3"/>
  <c r="F27" i="3"/>
  <c r="F28" i="3"/>
  <c r="F3" i="3"/>
  <c r="F38" i="3"/>
  <c r="E6" i="3"/>
  <c r="E9" i="3"/>
  <c r="I1" i="3"/>
  <c r="H64" i="3"/>
  <c r="G49" i="3" l="1"/>
  <c r="E8" i="3"/>
  <c r="G4" i="3"/>
  <c r="E39" i="3"/>
  <c r="F29" i="3"/>
  <c r="F39" i="3" s="1"/>
  <c r="H2" i="3"/>
  <c r="G5" i="3"/>
  <c r="G27" i="3"/>
  <c r="G28" i="3"/>
  <c r="G3" i="3"/>
  <c r="G38" i="3"/>
  <c r="F6" i="3"/>
  <c r="F9" i="3"/>
  <c r="E7" i="3"/>
  <c r="J1" i="3"/>
  <c r="I64" i="3"/>
  <c r="H49" i="3" l="1"/>
  <c r="F8" i="3"/>
  <c r="H4" i="3"/>
  <c r="I2" i="3"/>
  <c r="H5" i="3"/>
  <c r="H27" i="3"/>
  <c r="H28" i="3"/>
  <c r="H3" i="3"/>
  <c r="H38" i="3"/>
  <c r="G6" i="3"/>
  <c r="G9" i="3"/>
  <c r="F7" i="3"/>
  <c r="K1" i="3"/>
  <c r="J64" i="3"/>
  <c r="G29" i="3"/>
  <c r="I49" i="3" l="1"/>
  <c r="G8" i="3"/>
  <c r="J2" i="3"/>
  <c r="I5" i="3"/>
  <c r="I27" i="3"/>
  <c r="I3" i="3"/>
  <c r="I28" i="3"/>
  <c r="I38" i="3"/>
  <c r="H6" i="3"/>
  <c r="H9" i="3"/>
  <c r="G7" i="3"/>
  <c r="L1" i="3"/>
  <c r="K64" i="3"/>
  <c r="G39" i="3"/>
  <c r="I4" i="3"/>
  <c r="H29" i="3"/>
  <c r="J49" i="3" l="1"/>
  <c r="H8" i="3"/>
  <c r="K2" i="3"/>
  <c r="J5" i="3"/>
  <c r="J27" i="3"/>
  <c r="J28" i="3"/>
  <c r="J3" i="3"/>
  <c r="J38" i="3"/>
  <c r="I6" i="3"/>
  <c r="I9" i="3"/>
  <c r="H7" i="3"/>
  <c r="M1" i="3"/>
  <c r="L64" i="3"/>
  <c r="H39" i="3"/>
  <c r="I29" i="3"/>
  <c r="J4" i="3"/>
  <c r="K49" i="3" l="1"/>
  <c r="I8" i="3"/>
  <c r="K4" i="3"/>
  <c r="L2" i="3"/>
  <c r="K5" i="3"/>
  <c r="K3" i="3"/>
  <c r="K28" i="3"/>
  <c r="J6" i="3"/>
  <c r="J9" i="3"/>
  <c r="I7" i="3"/>
  <c r="N1" i="3"/>
  <c r="M64" i="3"/>
  <c r="I39" i="3"/>
  <c r="J29" i="3"/>
  <c r="L49" i="3" l="1"/>
  <c r="J8" i="3"/>
  <c r="K27" i="3"/>
  <c r="M2" i="3"/>
  <c r="L5" i="3"/>
  <c r="L3" i="3"/>
  <c r="L27" i="3"/>
  <c r="L28" i="3"/>
  <c r="L38" i="3"/>
  <c r="K6" i="3"/>
  <c r="K9" i="3"/>
  <c r="J7" i="3"/>
  <c r="O1" i="3"/>
  <c r="N64" i="3"/>
  <c r="J39" i="3"/>
  <c r="L4" i="3"/>
  <c r="M49" i="3" l="1"/>
  <c r="K8" i="3"/>
  <c r="K29" i="3"/>
  <c r="K39" i="3" s="1"/>
  <c r="M4" i="3"/>
  <c r="N2" i="3"/>
  <c r="M5" i="3"/>
  <c r="M3" i="3"/>
  <c r="M27" i="3"/>
  <c r="M28" i="3"/>
  <c r="M38" i="3"/>
  <c r="L6" i="3"/>
  <c r="L9" i="3"/>
  <c r="K7" i="3"/>
  <c r="P1" i="3"/>
  <c r="O64" i="3"/>
  <c r="L29" i="3"/>
  <c r="N49" i="3" l="1"/>
  <c r="L8" i="3"/>
  <c r="N4" i="3"/>
  <c r="O2" i="3"/>
  <c r="N5" i="3"/>
  <c r="N27" i="3"/>
  <c r="N28" i="3"/>
  <c r="N3" i="3"/>
  <c r="N38" i="3"/>
  <c r="M6" i="3"/>
  <c r="M9" i="3"/>
  <c r="L7" i="3"/>
  <c r="Q1" i="3"/>
  <c r="P64" i="3"/>
  <c r="L39" i="3"/>
  <c r="M29" i="3"/>
  <c r="O49" i="3" l="1"/>
  <c r="M8" i="3"/>
  <c r="O4" i="3"/>
  <c r="P2" i="3"/>
  <c r="O5" i="3"/>
  <c r="O27" i="3"/>
  <c r="O28" i="3"/>
  <c r="O3" i="3"/>
  <c r="O38" i="3"/>
  <c r="N6" i="3"/>
  <c r="N9" i="3"/>
  <c r="M7" i="3"/>
  <c r="R1" i="3"/>
  <c r="Q64" i="3"/>
  <c r="M39" i="3"/>
  <c r="N29" i="3"/>
  <c r="P49" i="3" l="1"/>
  <c r="N8" i="3"/>
  <c r="P4" i="3"/>
  <c r="Q2" i="3"/>
  <c r="P5" i="3"/>
  <c r="P3" i="3"/>
  <c r="P27" i="3"/>
  <c r="P28" i="3"/>
  <c r="P38" i="3"/>
  <c r="O6" i="3"/>
  <c r="O9" i="3"/>
  <c r="N7" i="3"/>
  <c r="S1" i="3"/>
  <c r="R64" i="3"/>
  <c r="N39" i="3"/>
  <c r="O29" i="3"/>
  <c r="Q49" i="3" l="1"/>
  <c r="O8" i="3"/>
  <c r="Q4" i="3"/>
  <c r="R2" i="3"/>
  <c r="Q5" i="3"/>
  <c r="Q3" i="3"/>
  <c r="Q27" i="3"/>
  <c r="Q28" i="3"/>
  <c r="Q38" i="3"/>
  <c r="P6" i="3"/>
  <c r="P9" i="3"/>
  <c r="O7" i="3"/>
  <c r="T1" i="3"/>
  <c r="S64" i="3"/>
  <c r="O39" i="3"/>
  <c r="P29" i="3"/>
  <c r="R49" i="3" l="1"/>
  <c r="P8" i="3"/>
  <c r="R4" i="3"/>
  <c r="S2" i="3"/>
  <c r="R5" i="3"/>
  <c r="R27" i="3"/>
  <c r="R28" i="3"/>
  <c r="R3" i="3"/>
  <c r="R38" i="3"/>
  <c r="Q6" i="3"/>
  <c r="Q9" i="3"/>
  <c r="P7" i="3"/>
  <c r="U1" i="3"/>
  <c r="T64" i="3"/>
  <c r="P39" i="3"/>
  <c r="Q29" i="3"/>
  <c r="S49" i="3" l="1"/>
  <c r="Q8" i="3"/>
  <c r="T2" i="3"/>
  <c r="S5" i="3"/>
  <c r="S3" i="3"/>
  <c r="S27" i="3"/>
  <c r="S28" i="3"/>
  <c r="S38" i="3"/>
  <c r="R6" i="3"/>
  <c r="R9" i="3"/>
  <c r="Q7" i="3"/>
  <c r="V1" i="3"/>
  <c r="U64" i="3"/>
  <c r="Q39" i="3"/>
  <c r="R29" i="3"/>
  <c r="S4" i="3"/>
  <c r="T49" i="3" l="1"/>
  <c r="R8" i="3"/>
  <c r="T4" i="3"/>
  <c r="U2" i="3"/>
  <c r="T5" i="3"/>
  <c r="T27" i="3"/>
  <c r="T28" i="3"/>
  <c r="T3" i="3"/>
  <c r="T38" i="3"/>
  <c r="S6" i="3"/>
  <c r="S9" i="3"/>
  <c r="R7" i="3"/>
  <c r="W1" i="3"/>
  <c r="V64" i="3"/>
  <c r="R39" i="3"/>
  <c r="S29" i="3"/>
  <c r="U49" i="3" l="1"/>
  <c r="S8" i="3"/>
  <c r="U4" i="3"/>
  <c r="T29" i="3"/>
  <c r="T39" i="3" s="1"/>
  <c r="V2" i="3"/>
  <c r="U5" i="3"/>
  <c r="U3" i="3"/>
  <c r="U27" i="3"/>
  <c r="U28" i="3"/>
  <c r="U38" i="3"/>
  <c r="T6" i="3"/>
  <c r="T9" i="3"/>
  <c r="S7" i="3"/>
  <c r="X1" i="3"/>
  <c r="W64" i="3"/>
  <c r="S39" i="3"/>
  <c r="V49" i="3" l="1"/>
  <c r="T8" i="3"/>
  <c r="V4" i="3"/>
  <c r="U29" i="3"/>
  <c r="U39" i="3" s="1"/>
  <c r="W2" i="3"/>
  <c r="V5" i="3"/>
  <c r="V3" i="3"/>
  <c r="V27" i="3"/>
  <c r="V28" i="3"/>
  <c r="V38" i="3"/>
  <c r="U6" i="3"/>
  <c r="U9" i="3"/>
  <c r="T7" i="3"/>
  <c r="Y1" i="3"/>
  <c r="X64" i="3"/>
  <c r="W49" i="3" l="1"/>
  <c r="U8" i="3"/>
  <c r="W4" i="3"/>
  <c r="X2" i="3"/>
  <c r="W5" i="3"/>
  <c r="W28" i="3"/>
  <c r="W3" i="3"/>
  <c r="V6" i="3"/>
  <c r="V9" i="3"/>
  <c r="U7" i="3"/>
  <c r="Z1" i="3"/>
  <c r="Y64" i="3"/>
  <c r="V29" i="3"/>
  <c r="X26" i="3" l="1"/>
  <c r="X49" i="3"/>
  <c r="V8" i="3"/>
  <c r="Y2" i="3"/>
  <c r="X5" i="3"/>
  <c r="X3" i="3"/>
  <c r="X27" i="3"/>
  <c r="X28" i="3"/>
  <c r="X38" i="3"/>
  <c r="W6" i="3"/>
  <c r="W9" i="3"/>
  <c r="V7" i="3"/>
  <c r="AA1" i="3"/>
  <c r="Z64" i="3"/>
  <c r="V39" i="3"/>
  <c r="X4" i="3"/>
  <c r="Y26" i="3" l="1"/>
  <c r="Y49" i="3"/>
  <c r="W8" i="3"/>
  <c r="Y4" i="3"/>
  <c r="X29" i="3"/>
  <c r="X39" i="3" s="1"/>
  <c r="Z2" i="3"/>
  <c r="Y5" i="3"/>
  <c r="Y3" i="3"/>
  <c r="Y27" i="3"/>
  <c r="Y28" i="3"/>
  <c r="Y38" i="3"/>
  <c r="X6" i="3"/>
  <c r="X9" i="3"/>
  <c r="W7" i="3"/>
  <c r="AB1" i="3"/>
  <c r="AA64" i="3"/>
  <c r="Z26" i="3" l="1"/>
  <c r="Z49" i="3"/>
  <c r="X8" i="3"/>
  <c r="Z4" i="3"/>
  <c r="AA2" i="3"/>
  <c r="Z5" i="3"/>
  <c r="Z27" i="3"/>
  <c r="Z28" i="3"/>
  <c r="Z3" i="3"/>
  <c r="Z38" i="3"/>
  <c r="Y9" i="3"/>
  <c r="Y6" i="3"/>
  <c r="X7" i="3"/>
  <c r="AC1" i="3"/>
  <c r="AB64" i="3"/>
  <c r="Y29" i="3"/>
  <c r="AA26" i="3" l="1"/>
  <c r="AA49" i="3"/>
  <c r="Y8" i="3"/>
  <c r="AA4" i="3"/>
  <c r="AB2" i="3"/>
  <c r="AA5" i="3"/>
  <c r="AA27" i="3"/>
  <c r="AA28" i="3"/>
  <c r="AA3" i="3"/>
  <c r="AA38" i="3"/>
  <c r="Z6" i="3"/>
  <c r="Z9" i="3"/>
  <c r="Y7" i="3"/>
  <c r="AD1" i="3"/>
  <c r="AC64" i="3"/>
  <c r="Y39" i="3"/>
  <c r="Z29" i="3"/>
  <c r="AB26" i="3" l="1"/>
  <c r="AB49" i="3"/>
  <c r="Z8" i="3"/>
  <c r="AB4" i="3"/>
  <c r="AC2" i="3"/>
  <c r="AB5" i="3"/>
  <c r="AB3" i="3"/>
  <c r="AB27" i="3"/>
  <c r="AB28" i="3"/>
  <c r="AB38" i="3"/>
  <c r="AA6" i="3"/>
  <c r="AA9" i="3"/>
  <c r="Z7" i="3"/>
  <c r="AE1" i="3"/>
  <c r="AD64" i="3"/>
  <c r="Z39" i="3"/>
  <c r="AA29" i="3"/>
  <c r="AC26" i="3" l="1"/>
  <c r="AC49" i="3"/>
  <c r="AA8" i="3"/>
  <c r="AC4" i="3"/>
  <c r="AB29" i="3"/>
  <c r="AB39" i="3" s="1"/>
  <c r="AD2" i="3"/>
  <c r="AC5" i="3"/>
  <c r="AC3" i="3"/>
  <c r="AC27" i="3"/>
  <c r="AC28" i="3"/>
  <c r="AC38" i="3"/>
  <c r="AB6" i="3"/>
  <c r="AB9" i="3"/>
  <c r="AA7" i="3"/>
  <c r="AF1" i="3"/>
  <c r="AE64" i="3"/>
  <c r="AA39" i="3"/>
  <c r="AD26" i="3" l="1"/>
  <c r="AD49" i="3"/>
  <c r="AB8" i="3"/>
  <c r="AD4" i="3"/>
  <c r="AE2" i="3"/>
  <c r="AD5" i="3"/>
  <c r="AD27" i="3"/>
  <c r="AD28" i="3"/>
  <c r="AD3" i="3"/>
  <c r="AD38" i="3"/>
  <c r="AC6" i="3"/>
  <c r="AC9" i="3"/>
  <c r="AB7" i="3"/>
  <c r="AG1" i="3"/>
  <c r="AF64" i="3"/>
  <c r="AC29" i="3"/>
  <c r="AE26" i="3" l="1"/>
  <c r="AE49" i="3"/>
  <c r="AC8" i="3"/>
  <c r="AE4" i="3"/>
  <c r="AD29" i="3"/>
  <c r="AD39" i="3" s="1"/>
  <c r="AF2" i="3"/>
  <c r="AE5" i="3"/>
  <c r="AE3" i="3"/>
  <c r="AE27" i="3"/>
  <c r="AE28" i="3"/>
  <c r="AE38" i="3"/>
  <c r="AD6" i="3"/>
  <c r="AD9" i="3"/>
  <c r="AC7" i="3"/>
  <c r="AH1" i="3"/>
  <c r="AG64" i="3"/>
  <c r="AC39" i="3"/>
  <c r="AF26" i="3" l="1"/>
  <c r="AF49" i="3"/>
  <c r="AD8" i="3"/>
  <c r="AF4" i="3"/>
  <c r="AE29" i="3"/>
  <c r="AE39" i="3" s="1"/>
  <c r="AG2" i="3"/>
  <c r="AF5" i="3"/>
  <c r="AF3" i="3"/>
  <c r="AF27" i="3"/>
  <c r="AF28" i="3"/>
  <c r="AF38" i="3"/>
  <c r="AE6" i="3"/>
  <c r="AE9" i="3"/>
  <c r="AD7" i="3"/>
  <c r="AI1" i="3"/>
  <c r="AH64" i="3"/>
  <c r="AG26" i="3" l="1"/>
  <c r="AG49" i="3"/>
  <c r="AE8" i="3"/>
  <c r="AG4" i="3"/>
  <c r="AH2" i="3"/>
  <c r="AG5" i="3"/>
  <c r="AG3" i="3"/>
  <c r="AG27" i="3"/>
  <c r="AG28" i="3"/>
  <c r="AG38" i="3"/>
  <c r="AF6" i="3"/>
  <c r="AF9" i="3"/>
  <c r="AE7" i="3"/>
  <c r="AJ1" i="3"/>
  <c r="AI64" i="3"/>
  <c r="AF29" i="3"/>
  <c r="AH26" i="3" l="1"/>
  <c r="AH49" i="3"/>
  <c r="AF8" i="3"/>
  <c r="AH4" i="3"/>
  <c r="AG29" i="3"/>
  <c r="AG39" i="3" s="1"/>
  <c r="AI2" i="3"/>
  <c r="AH5" i="3"/>
  <c r="AH27" i="3"/>
  <c r="AH28" i="3"/>
  <c r="AH3" i="3"/>
  <c r="AH38" i="3"/>
  <c r="AG6" i="3"/>
  <c r="AG9" i="3"/>
  <c r="AF7" i="3"/>
  <c r="AK1" i="3"/>
  <c r="AJ64" i="3"/>
  <c r="AF39" i="3"/>
  <c r="AI26" i="3" l="1"/>
  <c r="AI49" i="3"/>
  <c r="AG8" i="3"/>
  <c r="AI4" i="3"/>
  <c r="AJ2" i="3"/>
  <c r="AI5" i="3"/>
  <c r="AI27" i="3"/>
  <c r="AI28" i="3"/>
  <c r="AI3" i="3"/>
  <c r="AI38" i="3"/>
  <c r="AH6" i="3"/>
  <c r="AH9" i="3"/>
  <c r="AG7" i="3"/>
  <c r="AL1" i="3"/>
  <c r="AK64" i="3"/>
  <c r="AH29" i="3"/>
  <c r="AJ26" i="3" l="1"/>
  <c r="AJ49" i="3"/>
  <c r="AH8" i="3"/>
  <c r="AJ4" i="3"/>
  <c r="AK2" i="3"/>
  <c r="AJ5" i="3"/>
  <c r="AJ3" i="3"/>
  <c r="AJ27" i="3"/>
  <c r="AJ28" i="3"/>
  <c r="AJ38" i="3"/>
  <c r="AI9" i="3"/>
  <c r="AI6" i="3"/>
  <c r="AH7" i="3"/>
  <c r="AM1" i="3"/>
  <c r="AL64" i="3"/>
  <c r="AH39" i="3"/>
  <c r="AI29" i="3"/>
  <c r="AK26" i="3" l="1"/>
  <c r="AK49" i="3"/>
  <c r="AI8" i="3"/>
  <c r="AK4" i="3"/>
  <c r="AJ29" i="3"/>
  <c r="AJ39" i="3" s="1"/>
  <c r="AL2" i="3"/>
  <c r="AK5" i="3"/>
  <c r="AK3" i="3"/>
  <c r="AK27" i="3"/>
  <c r="AK28" i="3"/>
  <c r="AK38" i="3"/>
  <c r="AJ6" i="3"/>
  <c r="AJ9" i="3"/>
  <c r="AI7" i="3"/>
  <c r="AN1" i="3"/>
  <c r="AM64" i="3"/>
  <c r="AI39" i="3"/>
  <c r="AL26" i="3" l="1"/>
  <c r="AL49" i="3"/>
  <c r="AJ8" i="3"/>
  <c r="AK29" i="3"/>
  <c r="AK39" i="3" s="1"/>
  <c r="AL4" i="3"/>
  <c r="AM2" i="3"/>
  <c r="AL5" i="3"/>
  <c r="AL3" i="3"/>
  <c r="AL27" i="3"/>
  <c r="AL28" i="3"/>
  <c r="AL38" i="3"/>
  <c r="AK6" i="3"/>
  <c r="AK9" i="3"/>
  <c r="AJ7" i="3"/>
  <c r="AO1" i="3"/>
  <c r="AN64" i="3"/>
  <c r="AM26" i="3" l="1"/>
  <c r="AM49" i="3"/>
  <c r="AK8" i="3"/>
  <c r="AM4" i="3"/>
  <c r="AL29" i="3"/>
  <c r="AL39" i="3" s="1"/>
  <c r="AN2" i="3"/>
  <c r="AM5" i="3"/>
  <c r="AM27" i="3"/>
  <c r="AM28" i="3"/>
  <c r="AM3" i="3"/>
  <c r="AM38" i="3"/>
  <c r="AL9" i="3"/>
  <c r="AL6" i="3"/>
  <c r="AK7" i="3"/>
  <c r="AP1" i="3"/>
  <c r="AO64" i="3"/>
  <c r="AN26" i="3" l="1"/>
  <c r="AN49" i="3"/>
  <c r="AL8" i="3"/>
  <c r="AM29" i="3"/>
  <c r="AM39" i="3" s="1"/>
  <c r="AO2" i="3"/>
  <c r="AN5" i="3"/>
  <c r="AN3" i="3"/>
  <c r="AN27" i="3"/>
  <c r="AN28" i="3"/>
  <c r="AN38" i="3"/>
  <c r="AM6" i="3"/>
  <c r="AM9" i="3"/>
  <c r="AL7" i="3"/>
  <c r="AQ1" i="3"/>
  <c r="AP64" i="3"/>
  <c r="AN4" i="3"/>
  <c r="AO26" i="3" l="1"/>
  <c r="AO49" i="3"/>
  <c r="AM8" i="3"/>
  <c r="AO4" i="3"/>
  <c r="AN29" i="3"/>
  <c r="AN39" i="3" s="1"/>
  <c r="AP2" i="3"/>
  <c r="AO5" i="3"/>
  <c r="AO3" i="3"/>
  <c r="AO27" i="3"/>
  <c r="AO28" i="3"/>
  <c r="AO38" i="3"/>
  <c r="AN6" i="3"/>
  <c r="AN9" i="3"/>
  <c r="AM7" i="3"/>
  <c r="AR1" i="3"/>
  <c r="AQ64" i="3"/>
  <c r="AP26" i="3" l="1"/>
  <c r="AP49" i="3"/>
  <c r="AN8" i="3"/>
  <c r="AP4" i="3"/>
  <c r="AQ2" i="3"/>
  <c r="AP5" i="3"/>
  <c r="AP27" i="3"/>
  <c r="AP28" i="3"/>
  <c r="AP3" i="3"/>
  <c r="AP38" i="3"/>
  <c r="AO9" i="3"/>
  <c r="AO6" i="3"/>
  <c r="AN7" i="3"/>
  <c r="AS1" i="3"/>
  <c r="AR64" i="3"/>
  <c r="AO29" i="3"/>
  <c r="AQ26" i="3" l="1"/>
  <c r="AQ49" i="3"/>
  <c r="AO8" i="3"/>
  <c r="AQ4" i="3"/>
  <c r="AR2" i="3"/>
  <c r="AQ5" i="3"/>
  <c r="AQ27" i="3"/>
  <c r="AQ28" i="3"/>
  <c r="AQ3" i="3"/>
  <c r="AQ38" i="3"/>
  <c r="AP6" i="3"/>
  <c r="AP9" i="3"/>
  <c r="AO7" i="3"/>
  <c r="AT1" i="3"/>
  <c r="AS64" i="3"/>
  <c r="AO39" i="3"/>
  <c r="AP29" i="3"/>
  <c r="AR26" i="3" l="1"/>
  <c r="AR49" i="3"/>
  <c r="AP8" i="3"/>
  <c r="AS2" i="3"/>
  <c r="AR5" i="3"/>
  <c r="AR3" i="3"/>
  <c r="AR27" i="3"/>
  <c r="AR28" i="3"/>
  <c r="AR38" i="3"/>
  <c r="AQ6" i="3"/>
  <c r="AQ9" i="3"/>
  <c r="AP7" i="3"/>
  <c r="AU1" i="3"/>
  <c r="AT64" i="3"/>
  <c r="AP39" i="3"/>
  <c r="AR4" i="3"/>
  <c r="AQ29" i="3"/>
  <c r="AS26" i="3" l="1"/>
  <c r="AS49" i="3"/>
  <c r="AQ8" i="3"/>
  <c r="AS4" i="3"/>
  <c r="AR29" i="3"/>
  <c r="AR39" i="3" s="1"/>
  <c r="AT2" i="3"/>
  <c r="AS5" i="3"/>
  <c r="AS3" i="3"/>
  <c r="AS27" i="3"/>
  <c r="AS28" i="3"/>
  <c r="AS38" i="3"/>
  <c r="AR6" i="3"/>
  <c r="AR9" i="3"/>
  <c r="AQ7" i="3"/>
  <c r="AV1" i="3"/>
  <c r="AU64" i="3"/>
  <c r="AQ39" i="3"/>
  <c r="AT26" i="3" l="1"/>
  <c r="AT49" i="3"/>
  <c r="AR8" i="3"/>
  <c r="AT4" i="3"/>
  <c r="AS29" i="3"/>
  <c r="AS39" i="3" s="1"/>
  <c r="AU2" i="3"/>
  <c r="AT5" i="3"/>
  <c r="AT27" i="3"/>
  <c r="AT28" i="3"/>
  <c r="AT3" i="3"/>
  <c r="AT38" i="3"/>
  <c r="AS9" i="3"/>
  <c r="AS6" i="3"/>
  <c r="AR7" i="3"/>
  <c r="AW1" i="3"/>
  <c r="AV64" i="3"/>
  <c r="AU26" i="3" l="1"/>
  <c r="AU49" i="3"/>
  <c r="AS8" i="3"/>
  <c r="AU4" i="3"/>
  <c r="AV2" i="3"/>
  <c r="AU5" i="3"/>
  <c r="AU27" i="3"/>
  <c r="AU28" i="3"/>
  <c r="AU3" i="3"/>
  <c r="AU38" i="3"/>
  <c r="AT6" i="3"/>
  <c r="AT9" i="3"/>
  <c r="AS7" i="3"/>
  <c r="AX1" i="3"/>
  <c r="AW64" i="3"/>
  <c r="AT29" i="3"/>
  <c r="AV26" i="3" l="1"/>
  <c r="AV49" i="3"/>
  <c r="AT8" i="3"/>
  <c r="AV4" i="3"/>
  <c r="AW2" i="3"/>
  <c r="AV5" i="3"/>
  <c r="AV27" i="3"/>
  <c r="AV28" i="3"/>
  <c r="AV3" i="3"/>
  <c r="AV38" i="3"/>
  <c r="AU9" i="3"/>
  <c r="AU6" i="3"/>
  <c r="AT7" i="3"/>
  <c r="AY1" i="3"/>
  <c r="AX64" i="3"/>
  <c r="AT39" i="3"/>
  <c r="AU29" i="3"/>
  <c r="AW26" i="3" l="1"/>
  <c r="AW49" i="3"/>
  <c r="AU8" i="3"/>
  <c r="AW4" i="3"/>
  <c r="AX2" i="3"/>
  <c r="AW5" i="3"/>
  <c r="AW3" i="3"/>
  <c r="AW27" i="3"/>
  <c r="AW28" i="3"/>
  <c r="AW38" i="3"/>
  <c r="AV9" i="3"/>
  <c r="AV6" i="3"/>
  <c r="AU7" i="3"/>
  <c r="AZ1" i="3"/>
  <c r="AY64" i="3"/>
  <c r="AU39" i="3"/>
  <c r="AV29" i="3"/>
  <c r="AX26" i="3" l="1"/>
  <c r="AX49" i="3"/>
  <c r="AV8" i="3"/>
  <c r="AX4" i="3"/>
  <c r="AY2" i="3"/>
  <c r="AX5" i="3"/>
  <c r="AX3" i="3"/>
  <c r="AX27" i="3"/>
  <c r="AX28" i="3"/>
  <c r="AX38" i="3"/>
  <c r="AW6" i="3"/>
  <c r="AW9" i="3"/>
  <c r="AV7" i="3"/>
  <c r="BA1" i="3"/>
  <c r="AZ64" i="3"/>
  <c r="AV39" i="3"/>
  <c r="AW29" i="3"/>
  <c r="AY26" i="3" l="1"/>
  <c r="AY49" i="3"/>
  <c r="AW8" i="3"/>
  <c r="AY4" i="3"/>
  <c r="AX29" i="3"/>
  <c r="AX39" i="3" s="1"/>
  <c r="AZ2" i="3"/>
  <c r="AY5" i="3"/>
  <c r="AY3" i="3"/>
  <c r="AY27" i="3"/>
  <c r="AY28" i="3"/>
  <c r="AY38" i="3"/>
  <c r="AX6" i="3"/>
  <c r="AX9" i="3"/>
  <c r="AW7" i="3"/>
  <c r="BB1" i="3"/>
  <c r="BA64" i="3"/>
  <c r="AW39" i="3"/>
  <c r="AZ26" i="3" l="1"/>
  <c r="AZ49" i="3"/>
  <c r="AX8" i="3"/>
  <c r="BA2" i="3"/>
  <c r="AZ5" i="3"/>
  <c r="AZ27" i="3"/>
  <c r="AZ28" i="3"/>
  <c r="AZ3" i="3"/>
  <c r="AZ38" i="3"/>
  <c r="AY9" i="3"/>
  <c r="AY6" i="3"/>
  <c r="AX7" i="3"/>
  <c r="BC1" i="3"/>
  <c r="BB64" i="3"/>
  <c r="AZ4" i="3"/>
  <c r="AY29" i="3"/>
  <c r="BA26" i="3" l="1"/>
  <c r="BA49" i="3"/>
  <c r="AY8" i="3"/>
  <c r="BA4" i="3"/>
  <c r="BB2" i="3"/>
  <c r="BA5" i="3"/>
  <c r="BA3" i="3"/>
  <c r="BA27" i="3"/>
  <c r="BA28" i="3"/>
  <c r="BA38" i="3"/>
  <c r="AZ9" i="3"/>
  <c r="AZ6" i="3"/>
  <c r="AY7" i="3"/>
  <c r="BD1" i="3"/>
  <c r="BC64" i="3"/>
  <c r="AY39" i="3"/>
  <c r="AZ29" i="3"/>
  <c r="BB26" i="3" l="1"/>
  <c r="BB49" i="3"/>
  <c r="AZ8" i="3"/>
  <c r="BB4" i="3"/>
  <c r="BC2" i="3"/>
  <c r="BB5" i="3"/>
  <c r="BB27" i="3"/>
  <c r="BB28" i="3"/>
  <c r="BB3" i="3"/>
  <c r="BB38" i="3"/>
  <c r="BA6" i="3"/>
  <c r="BA9" i="3"/>
  <c r="AZ7" i="3"/>
  <c r="BE1" i="3"/>
  <c r="BD64" i="3"/>
  <c r="AZ39" i="3"/>
  <c r="BA29" i="3"/>
  <c r="BC26" i="3" l="1"/>
  <c r="BC49" i="3"/>
  <c r="BA8" i="3"/>
  <c r="BC4" i="3"/>
  <c r="BD2" i="3"/>
  <c r="BC5" i="3"/>
  <c r="BC3" i="3"/>
  <c r="BC27" i="3"/>
  <c r="BC28" i="3"/>
  <c r="BC38" i="3"/>
  <c r="BB6" i="3"/>
  <c r="BB9" i="3"/>
  <c r="BA7" i="3"/>
  <c r="BF1" i="3"/>
  <c r="BE64" i="3"/>
  <c r="BA39" i="3"/>
  <c r="BB29" i="3"/>
  <c r="BD26" i="3" l="1"/>
  <c r="BD49" i="3"/>
  <c r="BB8" i="3"/>
  <c r="BE2" i="3"/>
  <c r="BD5" i="3"/>
  <c r="BD3" i="3"/>
  <c r="BD27" i="3"/>
  <c r="BD28" i="3"/>
  <c r="BD38" i="3"/>
  <c r="BC6" i="3"/>
  <c r="BC9" i="3"/>
  <c r="BB7" i="3"/>
  <c r="BG1" i="3"/>
  <c r="BF64" i="3"/>
  <c r="BB39" i="3"/>
  <c r="BD4" i="3"/>
  <c r="BC29" i="3"/>
  <c r="BE26" i="3" l="1"/>
  <c r="BE49" i="3"/>
  <c r="BC8" i="3"/>
  <c r="BE4" i="3"/>
  <c r="BF2" i="3"/>
  <c r="BE5" i="3"/>
  <c r="BE27" i="3"/>
  <c r="BE28" i="3"/>
  <c r="BE3" i="3"/>
  <c r="BE38" i="3"/>
  <c r="BD9" i="3"/>
  <c r="BD6" i="3"/>
  <c r="BC7" i="3"/>
  <c r="BH1" i="3"/>
  <c r="BG64" i="3"/>
  <c r="BC39" i="3"/>
  <c r="BD29" i="3"/>
  <c r="BF26" i="3" l="1"/>
  <c r="BF49" i="3"/>
  <c r="BD8" i="3"/>
  <c r="BF4" i="3"/>
  <c r="BG2" i="3"/>
  <c r="BF5" i="3"/>
  <c r="BF3" i="3"/>
  <c r="BF27" i="3"/>
  <c r="BF28" i="3"/>
  <c r="BF38" i="3"/>
  <c r="BE6" i="3"/>
  <c r="BE9" i="3"/>
  <c r="BD7" i="3"/>
  <c r="BI1" i="3"/>
  <c r="BH64" i="3"/>
  <c r="BD39" i="3"/>
  <c r="BE29" i="3"/>
  <c r="BG26" i="3" l="1"/>
  <c r="BG49" i="3"/>
  <c r="BE8" i="3"/>
  <c r="BG4" i="3"/>
  <c r="BF29" i="3"/>
  <c r="BF39" i="3" s="1"/>
  <c r="BH2" i="3"/>
  <c r="BG5" i="3"/>
  <c r="BG3" i="3"/>
  <c r="BG27" i="3"/>
  <c r="BG28" i="3"/>
  <c r="BG38" i="3"/>
  <c r="BF6" i="3"/>
  <c r="BF9" i="3"/>
  <c r="BE7" i="3"/>
  <c r="BJ1" i="3"/>
  <c r="BI64" i="3"/>
  <c r="BE39" i="3"/>
  <c r="BH26" i="3" l="1"/>
  <c r="BH49" i="3"/>
  <c r="BF8" i="3"/>
  <c r="BH4" i="3"/>
  <c r="BG29" i="3"/>
  <c r="BG39" i="3" s="1"/>
  <c r="BI2" i="3"/>
  <c r="BH5" i="3"/>
  <c r="BH3" i="3"/>
  <c r="BH27" i="3"/>
  <c r="BH28" i="3"/>
  <c r="BH38" i="3"/>
  <c r="BG9" i="3"/>
  <c r="BG6" i="3"/>
  <c r="BF7" i="3"/>
  <c r="BK1" i="3"/>
  <c r="BJ64" i="3"/>
  <c r="BI26" i="3" l="1"/>
  <c r="BI49" i="3"/>
  <c r="BG8" i="3"/>
  <c r="BI4" i="3"/>
  <c r="BH29" i="3"/>
  <c r="BH39" i="3" s="1"/>
  <c r="BJ2" i="3"/>
  <c r="BI5" i="3"/>
  <c r="BI27" i="3"/>
  <c r="BI28" i="3"/>
  <c r="BI3" i="3"/>
  <c r="BI38" i="3"/>
  <c r="BH6" i="3"/>
  <c r="BH9" i="3"/>
  <c r="BG7" i="3"/>
  <c r="BL1" i="3"/>
  <c r="BK64" i="3"/>
  <c r="BJ26" i="3" l="1"/>
  <c r="BJ49" i="3"/>
  <c r="BH8" i="3"/>
  <c r="BJ4" i="3"/>
  <c r="BK2" i="3"/>
  <c r="BJ5" i="3"/>
  <c r="BJ27" i="3"/>
  <c r="BJ28" i="3"/>
  <c r="BJ3" i="3"/>
  <c r="BJ38" i="3"/>
  <c r="BI6" i="3"/>
  <c r="BI9" i="3"/>
  <c r="BH7" i="3"/>
  <c r="BM1" i="3"/>
  <c r="BL64" i="3"/>
  <c r="BI29" i="3"/>
  <c r="BK26" i="3" l="1"/>
  <c r="BK49" i="3"/>
  <c r="BI8" i="3"/>
  <c r="BK4" i="3"/>
  <c r="BL2" i="3"/>
  <c r="BK5" i="3"/>
  <c r="BK3" i="3"/>
  <c r="BK27" i="3"/>
  <c r="BK28" i="3"/>
  <c r="BK38" i="3"/>
  <c r="BJ6" i="3"/>
  <c r="BJ9" i="3"/>
  <c r="BI7" i="3"/>
  <c r="BN1" i="3"/>
  <c r="BM64" i="3"/>
  <c r="BI39" i="3"/>
  <c r="BJ29" i="3"/>
  <c r="BL26" i="3" l="1"/>
  <c r="BL49" i="3"/>
  <c r="BJ8" i="3"/>
  <c r="BL4" i="3"/>
  <c r="BM2" i="3"/>
  <c r="BL5" i="3"/>
  <c r="BL3" i="3"/>
  <c r="BL27" i="3"/>
  <c r="BL28" i="3"/>
  <c r="BL38" i="3"/>
  <c r="BK9" i="3"/>
  <c r="BK6" i="3"/>
  <c r="BJ7" i="3"/>
  <c r="BO1" i="3"/>
  <c r="BN64" i="3"/>
  <c r="BJ39" i="3"/>
  <c r="BK29" i="3"/>
  <c r="BM26" i="3" l="1"/>
  <c r="BM49" i="3"/>
  <c r="BK8" i="3"/>
  <c r="BM4" i="3"/>
  <c r="BN2" i="3"/>
  <c r="BM5" i="3"/>
  <c r="BM27" i="3"/>
  <c r="BM28" i="3"/>
  <c r="BM3" i="3"/>
  <c r="BM38" i="3"/>
  <c r="BL6" i="3"/>
  <c r="BL9" i="3"/>
  <c r="BK7" i="3"/>
  <c r="BP1" i="3"/>
  <c r="BO64" i="3"/>
  <c r="BK39" i="3"/>
  <c r="BL29" i="3"/>
  <c r="BN26" i="3" l="1"/>
  <c r="BN49" i="3"/>
  <c r="BL8" i="3"/>
  <c r="BM29" i="3"/>
  <c r="BM39" i="3" s="1"/>
  <c r="BO2" i="3"/>
  <c r="BN3" i="3"/>
  <c r="BN5" i="3"/>
  <c r="BN27" i="3"/>
  <c r="BN28" i="3"/>
  <c r="BN38" i="3"/>
  <c r="BM9" i="3"/>
  <c r="BM6" i="3"/>
  <c r="BL7" i="3"/>
  <c r="BQ1" i="3"/>
  <c r="BP64" i="3"/>
  <c r="BL39" i="3"/>
  <c r="BN4" i="3"/>
  <c r="BO26" i="3" l="1"/>
  <c r="BO49" i="3"/>
  <c r="BM8" i="3"/>
  <c r="BP2" i="3"/>
  <c r="BO5" i="3"/>
  <c r="BO27" i="3"/>
  <c r="BO28" i="3"/>
  <c r="BO3" i="3"/>
  <c r="BO38" i="3"/>
  <c r="BN9" i="3"/>
  <c r="BN6" i="3"/>
  <c r="BM7" i="3"/>
  <c r="BR1" i="3"/>
  <c r="BQ64" i="3"/>
  <c r="BO4" i="3"/>
  <c r="BN29" i="3"/>
  <c r="BP26" i="3" l="1"/>
  <c r="BP49" i="3"/>
  <c r="BN8" i="3"/>
  <c r="BP4" i="3"/>
  <c r="BQ2" i="3"/>
  <c r="BP5" i="3"/>
  <c r="BP27" i="3"/>
  <c r="BP28" i="3"/>
  <c r="BP3" i="3"/>
  <c r="BP38" i="3"/>
  <c r="BO6" i="3"/>
  <c r="BO9" i="3"/>
  <c r="BN7" i="3"/>
  <c r="BS1" i="3"/>
  <c r="BR64" i="3"/>
  <c r="BN39" i="3"/>
  <c r="BO29" i="3"/>
  <c r="BQ26" i="3" l="1"/>
  <c r="BQ49" i="3"/>
  <c r="BO8" i="3"/>
  <c r="BR2" i="3"/>
  <c r="BQ5" i="3"/>
  <c r="BQ3" i="3"/>
  <c r="BQ27" i="3"/>
  <c r="BQ28" i="3"/>
  <c r="BQ38" i="3"/>
  <c r="BP9" i="3"/>
  <c r="BP6" i="3"/>
  <c r="BO7" i="3"/>
  <c r="BT1" i="3"/>
  <c r="BS64" i="3"/>
  <c r="BO39" i="3"/>
  <c r="BQ4" i="3"/>
  <c r="BP29" i="3"/>
  <c r="BR26" i="3" l="1"/>
  <c r="BR49" i="3"/>
  <c r="BP8" i="3"/>
  <c r="BR4" i="3"/>
  <c r="BS2" i="3"/>
  <c r="BR5" i="3"/>
  <c r="BR27" i="3"/>
  <c r="BR28" i="3"/>
  <c r="BR3" i="3"/>
  <c r="BR38" i="3"/>
  <c r="BQ6" i="3"/>
  <c r="BQ9" i="3"/>
  <c r="BP7" i="3"/>
  <c r="BU1" i="3"/>
  <c r="BT64" i="3"/>
  <c r="BP39" i="3"/>
  <c r="BQ29" i="3"/>
  <c r="BS26" i="3" l="1"/>
  <c r="BS49" i="3"/>
  <c r="BQ8" i="3"/>
  <c r="BT2" i="3"/>
  <c r="BS5" i="3"/>
  <c r="BS27" i="3"/>
  <c r="BS28" i="3"/>
  <c r="BS3" i="3"/>
  <c r="BS38" i="3"/>
  <c r="BR6" i="3"/>
  <c r="BR9" i="3"/>
  <c r="BQ7" i="3"/>
  <c r="BV1" i="3"/>
  <c r="BU64" i="3"/>
  <c r="BQ39" i="3"/>
  <c r="BS4" i="3"/>
  <c r="BR29" i="3"/>
  <c r="BT26" i="3" l="1"/>
  <c r="BT49" i="3"/>
  <c r="BR8" i="3"/>
  <c r="BT4" i="3"/>
  <c r="BU2" i="3"/>
  <c r="BT5" i="3"/>
  <c r="BT3" i="3"/>
  <c r="BT27" i="3"/>
  <c r="BT28" i="3"/>
  <c r="BT38" i="3"/>
  <c r="BS6" i="3"/>
  <c r="BS9" i="3"/>
  <c r="BR7" i="3"/>
  <c r="BW1" i="3"/>
  <c r="BV64" i="3"/>
  <c r="BR39" i="3"/>
  <c r="BS29" i="3"/>
  <c r="BU26" i="3" l="1"/>
  <c r="BU49" i="3"/>
  <c r="BS8" i="3"/>
  <c r="BU4" i="3"/>
  <c r="BV2" i="3"/>
  <c r="BU5" i="3"/>
  <c r="BU27" i="3"/>
  <c r="BU28" i="3"/>
  <c r="BU3" i="3"/>
  <c r="BU38" i="3"/>
  <c r="BT9" i="3"/>
  <c r="BT6" i="3"/>
  <c r="BS7" i="3"/>
  <c r="BX1" i="3"/>
  <c r="BW64" i="3"/>
  <c r="BS39" i="3"/>
  <c r="BT29" i="3"/>
  <c r="BV26" i="3" l="1"/>
  <c r="BV49" i="3"/>
  <c r="BT8" i="3"/>
  <c r="BV4" i="3"/>
  <c r="BU29" i="3"/>
  <c r="BU39" i="3" s="1"/>
  <c r="BW2" i="3"/>
  <c r="BV5" i="3"/>
  <c r="BV3" i="3"/>
  <c r="BV27" i="3"/>
  <c r="BV28" i="3"/>
  <c r="BV38" i="3"/>
  <c r="BU6" i="3"/>
  <c r="BU9" i="3"/>
  <c r="BT7" i="3"/>
  <c r="BY1" i="3"/>
  <c r="BX64" i="3"/>
  <c r="BT39" i="3"/>
  <c r="BW26" i="3" l="1"/>
  <c r="BW49" i="3"/>
  <c r="BU8" i="3"/>
  <c r="BW4" i="3"/>
  <c r="BV29" i="3"/>
  <c r="BV39" i="3" s="1"/>
  <c r="BX2" i="3"/>
  <c r="BW5" i="3"/>
  <c r="BW27" i="3"/>
  <c r="BW28" i="3"/>
  <c r="BW3" i="3"/>
  <c r="BW38" i="3"/>
  <c r="BV6" i="3"/>
  <c r="BV9" i="3"/>
  <c r="BU7" i="3"/>
  <c r="BZ1" i="3"/>
  <c r="BY64" i="3"/>
  <c r="BX26" i="3" l="1"/>
  <c r="BX49" i="3"/>
  <c r="BV8" i="3"/>
  <c r="BX4" i="3"/>
  <c r="BY2" i="3"/>
  <c r="BX5" i="3"/>
  <c r="BX3" i="3"/>
  <c r="BX27" i="3"/>
  <c r="BX28" i="3"/>
  <c r="BX38" i="3"/>
  <c r="BW6" i="3"/>
  <c r="BW9" i="3"/>
  <c r="BV7" i="3"/>
  <c r="CA1" i="3"/>
  <c r="BZ64" i="3"/>
  <c r="BW29" i="3"/>
  <c r="BY26" i="3" l="1"/>
  <c r="BY49" i="3"/>
  <c r="BW8" i="3"/>
  <c r="BY4" i="3"/>
  <c r="BX29" i="3"/>
  <c r="BX39" i="3" s="1"/>
  <c r="BZ2" i="3"/>
  <c r="BY3" i="3"/>
  <c r="BY5" i="3"/>
  <c r="BY27" i="3"/>
  <c r="BY28" i="3"/>
  <c r="BY38" i="3"/>
  <c r="BX6" i="3"/>
  <c r="BX9" i="3"/>
  <c r="BW7" i="3"/>
  <c r="CB1" i="3"/>
  <c r="CA64" i="3"/>
  <c r="BW39" i="3"/>
  <c r="BZ26" i="3" l="1"/>
  <c r="BZ49" i="3"/>
  <c r="BX8" i="3"/>
  <c r="BZ4" i="3"/>
  <c r="BY29" i="3"/>
  <c r="BY39" i="3" s="1"/>
  <c r="CA2" i="3"/>
  <c r="BZ5" i="3"/>
  <c r="BZ27" i="3"/>
  <c r="BZ28" i="3"/>
  <c r="BZ3" i="3"/>
  <c r="BZ38" i="3"/>
  <c r="BY9" i="3"/>
  <c r="BY6" i="3"/>
  <c r="BX7" i="3"/>
  <c r="CC1" i="3"/>
  <c r="CB64" i="3"/>
  <c r="CA26" i="3" l="1"/>
  <c r="CA49" i="3"/>
  <c r="BY8" i="3"/>
  <c r="CB2" i="3"/>
  <c r="CA5" i="3"/>
  <c r="CA3" i="3"/>
  <c r="CA27" i="3"/>
  <c r="CA28" i="3"/>
  <c r="CA38" i="3"/>
  <c r="BZ6" i="3"/>
  <c r="BZ9" i="3"/>
  <c r="BY7" i="3"/>
  <c r="CD1" i="3"/>
  <c r="CC64" i="3"/>
  <c r="BZ29" i="3"/>
  <c r="CA4" i="3"/>
  <c r="CB26" i="3" l="1"/>
  <c r="CB49" i="3"/>
  <c r="BZ8" i="3"/>
  <c r="CA29" i="3"/>
  <c r="CA39" i="3" s="1"/>
  <c r="CC2" i="3"/>
  <c r="CB5" i="3"/>
  <c r="CB27" i="3"/>
  <c r="CB28" i="3"/>
  <c r="CB3" i="3"/>
  <c r="CB38" i="3"/>
  <c r="CA9" i="3"/>
  <c r="CA6" i="3"/>
  <c r="BZ7" i="3"/>
  <c r="CE1" i="3"/>
  <c r="CD64" i="3"/>
  <c r="BZ39" i="3"/>
  <c r="CB4" i="3"/>
  <c r="CC26" i="3" l="1"/>
  <c r="CC49" i="3"/>
  <c r="CA8" i="3"/>
  <c r="CC4" i="3"/>
  <c r="CB29" i="3"/>
  <c r="CB39" i="3" s="1"/>
  <c r="CD2" i="3"/>
  <c r="CC5" i="3"/>
  <c r="CC3" i="3"/>
  <c r="CC27" i="3"/>
  <c r="CC28" i="3"/>
  <c r="CC38" i="3"/>
  <c r="CB6" i="3"/>
  <c r="CB9" i="3"/>
  <c r="CA7" i="3"/>
  <c r="CF1" i="3"/>
  <c r="CE64" i="3"/>
  <c r="CD26" i="3" l="1"/>
  <c r="CD49" i="3"/>
  <c r="CB8" i="3"/>
  <c r="CD4" i="3"/>
  <c r="CE2" i="3"/>
  <c r="CD3" i="3"/>
  <c r="CD5" i="3"/>
  <c r="CD27" i="3"/>
  <c r="CD28" i="3"/>
  <c r="CD38" i="3"/>
  <c r="CC6" i="3"/>
  <c r="CC9" i="3"/>
  <c r="CB7" i="3"/>
  <c r="CG1" i="3"/>
  <c r="CF64" i="3"/>
  <c r="CC29" i="3"/>
  <c r="CE26" i="3" l="1"/>
  <c r="CE49" i="3"/>
  <c r="CC8" i="3"/>
  <c r="CE4" i="3"/>
  <c r="CD29" i="3"/>
  <c r="CD39" i="3" s="1"/>
  <c r="CF2" i="3"/>
  <c r="CE5" i="3"/>
  <c r="CE3" i="3"/>
  <c r="CE28" i="3"/>
  <c r="CD6" i="3"/>
  <c r="CD9" i="3"/>
  <c r="CC7" i="3"/>
  <c r="CH1" i="3"/>
  <c r="CG64" i="3"/>
  <c r="CC39" i="3"/>
  <c r="CF26" i="3" l="1"/>
  <c r="CF49" i="3"/>
  <c r="CD8" i="3"/>
  <c r="CF4" i="3"/>
  <c r="CG2" i="3"/>
  <c r="CF5" i="3"/>
  <c r="CF3" i="3"/>
  <c r="CF27" i="3"/>
  <c r="CF28" i="3"/>
  <c r="CF38" i="3"/>
  <c r="CE6" i="3"/>
  <c r="CE9" i="3"/>
  <c r="CD7" i="3"/>
  <c r="CI1" i="3"/>
  <c r="CH64" i="3"/>
  <c r="CG26" i="3" l="1"/>
  <c r="CG49" i="3"/>
  <c r="CE8" i="3"/>
  <c r="CG4" i="3"/>
  <c r="CF29" i="3"/>
  <c r="CF39" i="3" s="1"/>
  <c r="CH2" i="3"/>
  <c r="CG5" i="3"/>
  <c r="CG27" i="3"/>
  <c r="CG28" i="3"/>
  <c r="CG3" i="3"/>
  <c r="CG38" i="3"/>
  <c r="CF9" i="3"/>
  <c r="CF6" i="3"/>
  <c r="CE7" i="3"/>
  <c r="CJ1" i="3"/>
  <c r="CI64" i="3"/>
  <c r="CH26" i="3" l="1"/>
  <c r="CH49" i="3"/>
  <c r="CF8" i="3"/>
  <c r="CE27" i="3"/>
  <c r="CE29" i="3" s="1"/>
  <c r="CH4" i="3"/>
  <c r="CI2" i="3"/>
  <c r="CH5" i="3"/>
  <c r="CH27" i="3"/>
  <c r="CH28" i="3"/>
  <c r="CH3" i="3"/>
  <c r="CH38" i="3"/>
  <c r="CG6" i="3"/>
  <c r="CG9" i="3"/>
  <c r="CF7" i="3"/>
  <c r="CK1" i="3"/>
  <c r="CJ64" i="3"/>
  <c r="CG29" i="3"/>
  <c r="CI26" i="3" l="1"/>
  <c r="CI49" i="3"/>
  <c r="CG8" i="3"/>
  <c r="CE39" i="3"/>
  <c r="CJ2" i="3"/>
  <c r="CI5" i="3"/>
  <c r="CI27" i="3"/>
  <c r="CI28" i="3"/>
  <c r="CI3" i="3"/>
  <c r="CI38" i="3"/>
  <c r="CH6" i="3"/>
  <c r="CH9" i="3"/>
  <c r="CG7" i="3"/>
  <c r="CL1" i="3"/>
  <c r="CK64" i="3"/>
  <c r="CG39" i="3"/>
  <c r="CI4" i="3"/>
  <c r="CH29" i="3"/>
  <c r="CJ26" i="3" l="1"/>
  <c r="CJ49" i="3"/>
  <c r="CH8" i="3"/>
  <c r="CJ4" i="3"/>
  <c r="CI29" i="3"/>
  <c r="CI39" i="3" s="1"/>
  <c r="CK2" i="3"/>
  <c r="CJ5" i="3"/>
  <c r="CJ3" i="3"/>
  <c r="CJ27" i="3"/>
  <c r="CJ28" i="3"/>
  <c r="CJ38" i="3"/>
  <c r="CI9" i="3"/>
  <c r="CI6" i="3"/>
  <c r="CH7" i="3"/>
  <c r="CM1" i="3"/>
  <c r="CL64" i="3"/>
  <c r="CH39" i="3"/>
  <c r="CK26" i="3" l="1"/>
  <c r="CK49" i="3"/>
  <c r="CI8" i="3"/>
  <c r="CL2" i="3"/>
  <c r="CK5" i="3"/>
  <c r="CK3" i="3"/>
  <c r="CK27" i="3"/>
  <c r="CK28" i="3"/>
  <c r="CK38" i="3"/>
  <c r="CJ6" i="3"/>
  <c r="CJ9" i="3"/>
  <c r="CI7" i="3"/>
  <c r="CN1" i="3"/>
  <c r="CM64" i="3"/>
  <c r="CK4" i="3"/>
  <c r="CJ29" i="3"/>
  <c r="CL26" i="3" l="1"/>
  <c r="CL49" i="3"/>
  <c r="CJ8" i="3"/>
  <c r="CL4" i="3"/>
  <c r="CK29" i="3"/>
  <c r="CK39" i="3" s="1"/>
  <c r="CM2" i="3"/>
  <c r="CL5" i="3"/>
  <c r="CL27" i="3"/>
  <c r="CL28" i="3"/>
  <c r="CL3" i="3"/>
  <c r="CL38" i="3"/>
  <c r="CK6" i="3"/>
  <c r="CK9" i="3"/>
  <c r="CJ7" i="3"/>
  <c r="CO1" i="3"/>
  <c r="CN64" i="3"/>
  <c r="CJ39" i="3"/>
  <c r="CM26" i="3" l="1"/>
  <c r="CM49" i="3"/>
  <c r="CK8" i="3"/>
  <c r="CM4" i="3"/>
  <c r="CL29" i="3"/>
  <c r="CL39" i="3" s="1"/>
  <c r="CN2" i="3"/>
  <c r="CM5" i="3"/>
  <c r="CM27" i="3"/>
  <c r="CM28" i="3"/>
  <c r="CM3" i="3"/>
  <c r="CM38" i="3"/>
  <c r="CL9" i="3"/>
  <c r="CL6" i="3"/>
  <c r="CK7" i="3"/>
  <c r="CP1" i="3"/>
  <c r="CO64" i="3"/>
  <c r="CN26" i="3" l="1"/>
  <c r="CN49" i="3"/>
  <c r="CL8" i="3"/>
  <c r="CN4" i="3"/>
  <c r="CM29" i="3"/>
  <c r="CM39" i="3" s="1"/>
  <c r="CO2" i="3"/>
  <c r="CN5" i="3"/>
  <c r="CN27" i="3"/>
  <c r="CN28" i="3"/>
  <c r="CN3" i="3"/>
  <c r="CN38" i="3"/>
  <c r="CM9" i="3"/>
  <c r="CM6" i="3"/>
  <c r="CL7" i="3"/>
  <c r="CQ1" i="3"/>
  <c r="CP64" i="3"/>
  <c r="CO26" i="3" l="1"/>
  <c r="CO49" i="3"/>
  <c r="CM8" i="3"/>
  <c r="CO4" i="3"/>
  <c r="CN29" i="3"/>
  <c r="CN39" i="3" s="1"/>
  <c r="CP2" i="3"/>
  <c r="CO5" i="3"/>
  <c r="CO3" i="3"/>
  <c r="CO27" i="3"/>
  <c r="CO28" i="3"/>
  <c r="CO38" i="3"/>
  <c r="CN6" i="3"/>
  <c r="CN9" i="3"/>
  <c r="CM7" i="3"/>
  <c r="CR1" i="3"/>
  <c r="CQ64" i="3"/>
  <c r="CP26" i="3" l="1"/>
  <c r="CP49" i="3"/>
  <c r="CN8" i="3"/>
  <c r="CO29" i="3"/>
  <c r="CO39" i="3" s="1"/>
  <c r="CQ2" i="3"/>
  <c r="CP5" i="3"/>
  <c r="CP3" i="3"/>
  <c r="CP27" i="3"/>
  <c r="CP28" i="3"/>
  <c r="CP38" i="3"/>
  <c r="CO6" i="3"/>
  <c r="CO9" i="3"/>
  <c r="CN7" i="3"/>
  <c r="CS1" i="3"/>
  <c r="CR64" i="3"/>
  <c r="CP4" i="3"/>
  <c r="CQ26" i="3" l="1"/>
  <c r="CQ49" i="3"/>
  <c r="CO8" i="3"/>
  <c r="CQ4" i="3"/>
  <c r="CR2" i="3"/>
  <c r="CQ5" i="3"/>
  <c r="CQ28" i="3"/>
  <c r="CQ3" i="3"/>
  <c r="CP6" i="3"/>
  <c r="CP9" i="3"/>
  <c r="CO7" i="3"/>
  <c r="CT1" i="3"/>
  <c r="CS64" i="3"/>
  <c r="CP29" i="3"/>
  <c r="CR26" i="3" l="1"/>
  <c r="CR49" i="3"/>
  <c r="CP8" i="3"/>
  <c r="CR4" i="3"/>
  <c r="CS2" i="3"/>
  <c r="CR5" i="3"/>
  <c r="CR3" i="3"/>
  <c r="CR27" i="3"/>
  <c r="CR28" i="3"/>
  <c r="CR38" i="3"/>
  <c r="CQ9" i="3"/>
  <c r="CQ6" i="3"/>
  <c r="CP7" i="3"/>
  <c r="CU1" i="3"/>
  <c r="CT64" i="3"/>
  <c r="CP39" i="3"/>
  <c r="CS26" i="3" l="1"/>
  <c r="CS49" i="3"/>
  <c r="CQ8" i="3"/>
  <c r="CS4" i="3"/>
  <c r="CT2" i="3"/>
  <c r="CS5" i="3"/>
  <c r="CS27" i="3"/>
  <c r="CS28" i="3"/>
  <c r="CS3" i="3"/>
  <c r="CS38" i="3"/>
  <c r="CR6" i="3"/>
  <c r="CR9" i="3"/>
  <c r="CQ7" i="3"/>
  <c r="CV1" i="3"/>
  <c r="CU64" i="3"/>
  <c r="CR29" i="3"/>
  <c r="CT26" i="3" l="1"/>
  <c r="CT49" i="3"/>
  <c r="CR8" i="3"/>
  <c r="CU2" i="3"/>
  <c r="CT5" i="3"/>
  <c r="CT27" i="3"/>
  <c r="CT28" i="3"/>
  <c r="CT3" i="3"/>
  <c r="CT38" i="3"/>
  <c r="CS6" i="3"/>
  <c r="CS9" i="3"/>
  <c r="CR7" i="3"/>
  <c r="CW1" i="3"/>
  <c r="CV64" i="3"/>
  <c r="CR39" i="3"/>
  <c r="CT4" i="3"/>
  <c r="CS29" i="3"/>
  <c r="CQ27" i="3"/>
  <c r="CQ29" i="3" s="1"/>
  <c r="CU26" i="3" l="1"/>
  <c r="CU49" i="3"/>
  <c r="CS8" i="3"/>
  <c r="CU4" i="3"/>
  <c r="CT29" i="3"/>
  <c r="CT39" i="3" s="1"/>
  <c r="CV2" i="3"/>
  <c r="CU5" i="3"/>
  <c r="CU3" i="3"/>
  <c r="CU27" i="3"/>
  <c r="CU28" i="3"/>
  <c r="CU38" i="3"/>
  <c r="CT9" i="3"/>
  <c r="CT6" i="3"/>
  <c r="CS7" i="3"/>
  <c r="CX1" i="3"/>
  <c r="CW64" i="3"/>
  <c r="CS39" i="3"/>
  <c r="CQ39" i="3"/>
  <c r="CV26" i="3" l="1"/>
  <c r="CV49" i="3"/>
  <c r="CT8" i="3"/>
  <c r="CV4" i="3"/>
  <c r="CU29" i="3"/>
  <c r="CU39" i="3" s="1"/>
  <c r="CW2" i="3"/>
  <c r="CV5" i="3"/>
  <c r="CV27" i="3"/>
  <c r="CV28" i="3"/>
  <c r="CV3" i="3"/>
  <c r="CV38" i="3"/>
  <c r="CU6" i="3"/>
  <c r="CU9" i="3"/>
  <c r="CT7" i="3"/>
  <c r="CY1" i="3"/>
  <c r="CX64" i="3"/>
  <c r="CW26" i="3" l="1"/>
  <c r="CW49" i="3"/>
  <c r="CU8" i="3"/>
  <c r="CW4" i="3"/>
  <c r="CX2" i="3"/>
  <c r="CW5" i="3"/>
  <c r="CW3" i="3"/>
  <c r="CW27" i="3"/>
  <c r="CW28" i="3"/>
  <c r="CW38" i="3"/>
  <c r="CV6" i="3"/>
  <c r="CV9" i="3"/>
  <c r="CU7" i="3"/>
  <c r="CZ1" i="3"/>
  <c r="CY64" i="3"/>
  <c r="CV29" i="3"/>
  <c r="CX26" i="3" l="1"/>
  <c r="CX49" i="3"/>
  <c r="CV8" i="3"/>
  <c r="CX4" i="3"/>
  <c r="CY2" i="3"/>
  <c r="CX5" i="3"/>
  <c r="CX3" i="3"/>
  <c r="CX27" i="3"/>
  <c r="CX28" i="3"/>
  <c r="CX38" i="3"/>
  <c r="CW6" i="3"/>
  <c r="CW9" i="3"/>
  <c r="CV7" i="3"/>
  <c r="DA1" i="3"/>
  <c r="CZ64" i="3"/>
  <c r="CV39" i="3"/>
  <c r="CW29" i="3"/>
  <c r="CY26" i="3" l="1"/>
  <c r="CY49" i="3"/>
  <c r="CW8" i="3"/>
  <c r="CY4" i="3"/>
  <c r="CX29" i="3"/>
  <c r="CX39" i="3" s="1"/>
  <c r="CZ2" i="3"/>
  <c r="CY5" i="3"/>
  <c r="CY3" i="3"/>
  <c r="CY27" i="3"/>
  <c r="CY28" i="3"/>
  <c r="CY38" i="3"/>
  <c r="CX6" i="3"/>
  <c r="CX9" i="3"/>
  <c r="CW7" i="3"/>
  <c r="DB1" i="3"/>
  <c r="DA64" i="3"/>
  <c r="CW39" i="3"/>
  <c r="CZ26" i="3" l="1"/>
  <c r="CZ49" i="3"/>
  <c r="CX8" i="3"/>
  <c r="CZ4" i="3"/>
  <c r="DA2" i="3"/>
  <c r="CZ5" i="3"/>
  <c r="CZ27" i="3"/>
  <c r="CZ28" i="3"/>
  <c r="CZ3" i="3"/>
  <c r="CZ38" i="3"/>
  <c r="CY6" i="3"/>
  <c r="CY9" i="3"/>
  <c r="CX7" i="3"/>
  <c r="DC1" i="3"/>
  <c r="DB64" i="3"/>
  <c r="CY29" i="3"/>
  <c r="DA26" i="3" l="1"/>
  <c r="DA49" i="3"/>
  <c r="CY8" i="3"/>
  <c r="DA4" i="3"/>
  <c r="CZ29" i="3"/>
  <c r="CZ39" i="3" s="1"/>
  <c r="DB2" i="3"/>
  <c r="DA5" i="3"/>
  <c r="DA3" i="3"/>
  <c r="DA27" i="3"/>
  <c r="DA28" i="3"/>
  <c r="DA38" i="3"/>
  <c r="CZ9" i="3"/>
  <c r="CZ6" i="3"/>
  <c r="CY7" i="3"/>
  <c r="DD1" i="3"/>
  <c r="DC64" i="3"/>
  <c r="CY39" i="3"/>
  <c r="DB26" i="3" l="1"/>
  <c r="DB49" i="3"/>
  <c r="CZ8" i="3"/>
  <c r="DB4" i="3"/>
  <c r="DC2" i="3"/>
  <c r="DB5" i="3"/>
  <c r="DB27" i="3"/>
  <c r="DB28" i="3"/>
  <c r="DB3" i="3"/>
  <c r="DB38" i="3"/>
  <c r="DA6" i="3"/>
  <c r="DA9" i="3"/>
  <c r="CZ7" i="3"/>
  <c r="DE1" i="3"/>
  <c r="DD64" i="3"/>
  <c r="DA29" i="3"/>
  <c r="DC26" i="3" l="1"/>
  <c r="DC49" i="3"/>
  <c r="DA8" i="3"/>
  <c r="DC4" i="3"/>
  <c r="DD2" i="3"/>
  <c r="DC5" i="3"/>
  <c r="DC3" i="3"/>
  <c r="DC27" i="3"/>
  <c r="DC28" i="3"/>
  <c r="DC38" i="3"/>
  <c r="DB9" i="3"/>
  <c r="DB6" i="3"/>
  <c r="DA7" i="3"/>
  <c r="DF1" i="3"/>
  <c r="DE64" i="3"/>
  <c r="DA39" i="3"/>
  <c r="DB29" i="3"/>
  <c r="DD26" i="3" l="1"/>
  <c r="DD49" i="3"/>
  <c r="DB8" i="3"/>
  <c r="DD4" i="3"/>
  <c r="DE2" i="3"/>
  <c r="DD5" i="3"/>
  <c r="DD3" i="3"/>
  <c r="DD27" i="3"/>
  <c r="DD28" i="3"/>
  <c r="DD38" i="3"/>
  <c r="DC9" i="3"/>
  <c r="DC6" i="3"/>
  <c r="DB7" i="3"/>
  <c r="DG1" i="3"/>
  <c r="DF64" i="3"/>
  <c r="DB39" i="3"/>
  <c r="DC29" i="3"/>
  <c r="DE26" i="3" l="1"/>
  <c r="DE49" i="3"/>
  <c r="DC8" i="3"/>
  <c r="DE4" i="3"/>
  <c r="DD29" i="3"/>
  <c r="DD39" i="3" s="1"/>
  <c r="DF2" i="3"/>
  <c r="DE5" i="3"/>
  <c r="DE27" i="3"/>
  <c r="DE28" i="3"/>
  <c r="DE3" i="3"/>
  <c r="DE38" i="3"/>
  <c r="DD9" i="3"/>
  <c r="DD6" i="3"/>
  <c r="DC7" i="3"/>
  <c r="DH1" i="3"/>
  <c r="DG64" i="3"/>
  <c r="DC39" i="3"/>
  <c r="DF26" i="3" l="1"/>
  <c r="DF49" i="3"/>
  <c r="DD8" i="3"/>
  <c r="DF4" i="3"/>
  <c r="DE29" i="3"/>
  <c r="DE39" i="3" s="1"/>
  <c r="DG2" i="3"/>
  <c r="DF5" i="3"/>
  <c r="DF27" i="3"/>
  <c r="DF28" i="3"/>
  <c r="DF3" i="3"/>
  <c r="DF38" i="3"/>
  <c r="DE9" i="3"/>
  <c r="DE6" i="3"/>
  <c r="DD7" i="3"/>
  <c r="DI1" i="3"/>
  <c r="DH64" i="3"/>
  <c r="DG26" i="3" l="1"/>
  <c r="DG49" i="3"/>
  <c r="DE8" i="3"/>
  <c r="DF29" i="3"/>
  <c r="DF39" i="3" s="1"/>
  <c r="DH2" i="3"/>
  <c r="DG5" i="3"/>
  <c r="DG3" i="3"/>
  <c r="DG27" i="3"/>
  <c r="DG28" i="3"/>
  <c r="DG38" i="3"/>
  <c r="DF6" i="3"/>
  <c r="DF9" i="3"/>
  <c r="DE7" i="3"/>
  <c r="DJ1" i="3"/>
  <c r="DI64" i="3"/>
  <c r="DG4" i="3"/>
  <c r="DH26" i="3" l="1"/>
  <c r="DH49" i="3"/>
  <c r="DF8" i="3"/>
  <c r="DH4" i="3"/>
  <c r="DI2" i="3"/>
  <c r="DH5" i="3"/>
  <c r="DH27" i="3"/>
  <c r="DH28" i="3"/>
  <c r="DH3" i="3"/>
  <c r="DH38" i="3"/>
  <c r="DG9" i="3"/>
  <c r="DG6" i="3"/>
  <c r="DF7" i="3"/>
  <c r="DK1" i="3"/>
  <c r="DJ64" i="3"/>
  <c r="DG29" i="3"/>
  <c r="DI26" i="3" l="1"/>
  <c r="DI49" i="3"/>
  <c r="DG8" i="3"/>
  <c r="DI4" i="3"/>
  <c r="DH29" i="3"/>
  <c r="DH39" i="3" s="1"/>
  <c r="DJ2" i="3"/>
  <c r="DI5" i="3"/>
  <c r="DI3" i="3"/>
  <c r="DI27" i="3"/>
  <c r="DI28" i="3"/>
  <c r="DI38" i="3"/>
  <c r="DH6" i="3"/>
  <c r="DH9" i="3"/>
  <c r="DG7" i="3"/>
  <c r="DL1" i="3"/>
  <c r="DK64" i="3"/>
  <c r="DG39" i="3"/>
  <c r="DJ26" i="3" l="1"/>
  <c r="DJ49" i="3"/>
  <c r="DH8" i="3"/>
  <c r="DI29" i="3"/>
  <c r="DI39" i="3" s="1"/>
  <c r="DK2" i="3"/>
  <c r="DJ5" i="3"/>
  <c r="DJ27" i="3"/>
  <c r="DJ28" i="3"/>
  <c r="DJ3" i="3"/>
  <c r="DJ38" i="3"/>
  <c r="DI9" i="3"/>
  <c r="DI6" i="3"/>
  <c r="DH7" i="3"/>
  <c r="DM1" i="3"/>
  <c r="DL64" i="3"/>
  <c r="DJ4" i="3"/>
  <c r="DK26" i="3" l="1"/>
  <c r="DK49" i="3"/>
  <c r="DI8" i="3"/>
  <c r="DK4" i="3"/>
  <c r="DL2" i="3"/>
  <c r="DK5" i="3"/>
  <c r="DK3" i="3"/>
  <c r="DK27" i="3"/>
  <c r="DK28" i="3"/>
  <c r="DK38" i="3"/>
  <c r="DJ6" i="3"/>
  <c r="DJ9" i="3"/>
  <c r="DI7" i="3"/>
  <c r="DN1" i="3"/>
  <c r="DM64" i="3"/>
  <c r="DJ29" i="3"/>
  <c r="DL26" i="3" l="1"/>
  <c r="DL49" i="3"/>
  <c r="DJ8" i="3"/>
  <c r="DL4" i="3"/>
  <c r="DM2" i="3"/>
  <c r="DL5" i="3"/>
  <c r="DL3" i="3"/>
  <c r="DL27" i="3"/>
  <c r="DL28" i="3"/>
  <c r="DL38" i="3"/>
  <c r="DK9" i="3"/>
  <c r="DK6" i="3"/>
  <c r="DJ7" i="3"/>
  <c r="DO1" i="3"/>
  <c r="DN64" i="3"/>
  <c r="DJ39" i="3"/>
  <c r="DK29" i="3"/>
  <c r="DM26" i="3" l="1"/>
  <c r="DM49" i="3"/>
  <c r="DK8" i="3"/>
  <c r="DN2" i="3"/>
  <c r="DM3" i="3"/>
  <c r="DM5" i="3"/>
  <c r="DM27" i="3"/>
  <c r="DM28" i="3"/>
  <c r="DM38" i="3"/>
  <c r="DL9" i="3"/>
  <c r="DL6" i="3"/>
  <c r="DK7" i="3"/>
  <c r="DP1" i="3"/>
  <c r="DO64" i="3"/>
  <c r="DK39" i="3"/>
  <c r="DM4" i="3"/>
  <c r="DL29" i="3"/>
  <c r="DN26" i="3" l="1"/>
  <c r="DN49" i="3"/>
  <c r="DL8" i="3"/>
  <c r="DO2" i="3"/>
  <c r="DN5" i="3"/>
  <c r="DN3" i="3"/>
  <c r="DN27" i="3"/>
  <c r="DN28" i="3"/>
  <c r="DN38" i="3"/>
  <c r="DM6" i="3"/>
  <c r="DM9" i="3"/>
  <c r="DL7" i="3"/>
  <c r="DQ1" i="3"/>
  <c r="DP64" i="3"/>
  <c r="DL39" i="3"/>
  <c r="DN4" i="3"/>
  <c r="DM29" i="3"/>
  <c r="DO26" i="3" l="1"/>
  <c r="DO49" i="3"/>
  <c r="DM8" i="3"/>
  <c r="DO4" i="3"/>
  <c r="DP2" i="3"/>
  <c r="DO5" i="3"/>
  <c r="DO27" i="3"/>
  <c r="DO28" i="3"/>
  <c r="DO3" i="3"/>
  <c r="DO38" i="3"/>
  <c r="DN6" i="3"/>
  <c r="DN9" i="3"/>
  <c r="DM7" i="3"/>
  <c r="DR1" i="3"/>
  <c r="DQ64" i="3"/>
  <c r="DM39" i="3"/>
  <c r="DN29" i="3"/>
  <c r="DP26" i="3" l="1"/>
  <c r="DP49" i="3"/>
  <c r="DN8" i="3"/>
  <c r="DP4" i="3"/>
  <c r="DO29" i="3"/>
  <c r="DO39" i="3" s="1"/>
  <c r="DQ2" i="3"/>
  <c r="DP5" i="3"/>
  <c r="DP27" i="3"/>
  <c r="DP28" i="3"/>
  <c r="DP3" i="3"/>
  <c r="DP38" i="3"/>
  <c r="DO6" i="3"/>
  <c r="DO9" i="3"/>
  <c r="DN7" i="3"/>
  <c r="DS1" i="3"/>
  <c r="DR64" i="3"/>
  <c r="DN39" i="3"/>
  <c r="DQ26" i="3" l="1"/>
  <c r="DQ49" i="3"/>
  <c r="DO8" i="3"/>
  <c r="DP29" i="3"/>
  <c r="DR2" i="3"/>
  <c r="DQ3" i="3"/>
  <c r="DQ5" i="3"/>
  <c r="DQ27" i="3"/>
  <c r="DQ28" i="3"/>
  <c r="DQ38" i="3"/>
  <c r="DP9" i="3"/>
  <c r="DP6" i="3"/>
  <c r="DO7" i="3"/>
  <c r="DT1" i="3"/>
  <c r="DS64" i="3"/>
  <c r="DQ4" i="3"/>
  <c r="DR26" i="3" l="1"/>
  <c r="DP8" i="3"/>
  <c r="DR49" i="3"/>
  <c r="DR4" i="3"/>
  <c r="DP39" i="3"/>
  <c r="DS2" i="3"/>
  <c r="DR5" i="3"/>
  <c r="DR27" i="3"/>
  <c r="DR28" i="3"/>
  <c r="DR3" i="3"/>
  <c r="DR38" i="3"/>
  <c r="DQ6" i="3"/>
  <c r="DQ9" i="3"/>
  <c r="DP7" i="3"/>
  <c r="DU1" i="3"/>
  <c r="DT64" i="3"/>
  <c r="DQ29" i="3"/>
  <c r="DS26" i="3" l="1"/>
  <c r="DS49" i="3"/>
  <c r="DQ8" i="3"/>
  <c r="DS4" i="3"/>
  <c r="DR29" i="3"/>
  <c r="DR39" i="3" s="1"/>
  <c r="DT2" i="3"/>
  <c r="DS5" i="3"/>
  <c r="DS3" i="3"/>
  <c r="DS27" i="3"/>
  <c r="DS28" i="3"/>
  <c r="DS38" i="3"/>
  <c r="DR9" i="3"/>
  <c r="DR6" i="3"/>
  <c r="DQ7" i="3"/>
  <c r="DV1" i="3"/>
  <c r="DU64" i="3"/>
  <c r="DQ39" i="3"/>
  <c r="DT26" i="3" l="1"/>
  <c r="DT49" i="3"/>
  <c r="DR8" i="3"/>
  <c r="DT4" i="3"/>
  <c r="DS29" i="3"/>
  <c r="DS39" i="3" s="1"/>
  <c r="DU2" i="3"/>
  <c r="DT5" i="3"/>
  <c r="DT27" i="3"/>
  <c r="DT28" i="3"/>
  <c r="DT3" i="3"/>
  <c r="DT38" i="3"/>
  <c r="DS6" i="3"/>
  <c r="DS9" i="3"/>
  <c r="DR7" i="3"/>
  <c r="DW1" i="3"/>
  <c r="DV64" i="3"/>
  <c r="DU26" i="3" l="1"/>
  <c r="DU49" i="3"/>
  <c r="DS8" i="3"/>
  <c r="DU4" i="3"/>
  <c r="DT29" i="3"/>
  <c r="DT39" i="3" s="1"/>
  <c r="DV2" i="3"/>
  <c r="DU5" i="3"/>
  <c r="DU27" i="3"/>
  <c r="DU28" i="3"/>
  <c r="DU3" i="3"/>
  <c r="DU38" i="3"/>
  <c r="DT6" i="3"/>
  <c r="DT9" i="3"/>
  <c r="DS7" i="3"/>
  <c r="DX1" i="3"/>
  <c r="DW64" i="3"/>
  <c r="DV26" i="3" l="1"/>
  <c r="DV49" i="3"/>
  <c r="DT8" i="3"/>
  <c r="DU29" i="3"/>
  <c r="DU39" i="3" s="1"/>
  <c r="DW2" i="3"/>
  <c r="DV5" i="3"/>
  <c r="DV3" i="3"/>
  <c r="DV27" i="3"/>
  <c r="DV28" i="3"/>
  <c r="DV38" i="3"/>
  <c r="DU9" i="3"/>
  <c r="DU6" i="3"/>
  <c r="DT7" i="3"/>
  <c r="DY1" i="3"/>
  <c r="DX64" i="3"/>
  <c r="DV4" i="3"/>
  <c r="DW26" i="3" l="1"/>
  <c r="DW49" i="3"/>
  <c r="DU8" i="3"/>
  <c r="DW4" i="3"/>
  <c r="DX2" i="3"/>
  <c r="DW5" i="3"/>
  <c r="DW27" i="3"/>
  <c r="DW28" i="3"/>
  <c r="DW3" i="3"/>
  <c r="DW38" i="3"/>
  <c r="DV6" i="3"/>
  <c r="DV9" i="3"/>
  <c r="DU7" i="3"/>
  <c r="DZ1" i="3"/>
  <c r="DY64" i="3"/>
  <c r="DV29" i="3"/>
  <c r="DX26" i="3" l="1"/>
  <c r="DX49" i="3"/>
  <c r="DV8" i="3"/>
  <c r="DX4" i="3"/>
  <c r="DY2" i="3"/>
  <c r="DX5" i="3"/>
  <c r="DX27" i="3"/>
  <c r="DX28" i="3"/>
  <c r="DX3" i="3"/>
  <c r="DX38" i="3"/>
  <c r="DW9" i="3"/>
  <c r="DW6" i="3"/>
  <c r="DV7" i="3"/>
  <c r="EA1" i="3"/>
  <c r="DZ64" i="3"/>
  <c r="DV39" i="3"/>
  <c r="DW29" i="3"/>
  <c r="DY26" i="3" l="1"/>
  <c r="DY49" i="3"/>
  <c r="DW8" i="3"/>
  <c r="DY4" i="3"/>
  <c r="DY5" i="3"/>
  <c r="DZ2" i="3"/>
  <c r="DY3" i="3"/>
  <c r="DY27" i="3"/>
  <c r="DY28" i="3"/>
  <c r="DY38" i="3"/>
  <c r="DX9" i="3"/>
  <c r="DX6" i="3"/>
  <c r="DW7" i="3"/>
  <c r="EB1" i="3"/>
  <c r="EA64" i="3"/>
  <c r="DW39" i="3"/>
  <c r="DX29" i="3"/>
  <c r="DZ26" i="3" l="1"/>
  <c r="DZ49" i="3"/>
  <c r="DX8" i="3"/>
  <c r="DY29" i="3"/>
  <c r="DY39" i="3" s="1"/>
  <c r="DY6" i="3"/>
  <c r="DY9" i="3"/>
  <c r="EA2" i="3"/>
  <c r="DZ27" i="3"/>
  <c r="DZ28" i="3"/>
  <c r="DZ38" i="3"/>
  <c r="DZ3" i="3"/>
  <c r="DZ5" i="3"/>
  <c r="DX7" i="3"/>
  <c r="EC1" i="3"/>
  <c r="EB64" i="3"/>
  <c r="DX39" i="3"/>
  <c r="DZ4" i="3"/>
  <c r="EA26" i="3" l="1"/>
  <c r="EA49" i="3"/>
  <c r="DY8" i="3"/>
  <c r="EA4" i="3"/>
  <c r="DZ29" i="3"/>
  <c r="DZ39" i="3" s="1"/>
  <c r="DY7" i="3"/>
  <c r="EA27" i="3"/>
  <c r="EA28" i="3"/>
  <c r="EB2" i="3"/>
  <c r="EA38" i="3"/>
  <c r="EA5" i="3"/>
  <c r="EA3" i="3"/>
  <c r="DZ9" i="3"/>
  <c r="DZ6" i="3"/>
  <c r="ED1" i="3"/>
  <c r="EC64" i="3"/>
  <c r="EB26" i="3" l="1"/>
  <c r="EB49" i="3"/>
  <c r="DZ8" i="3"/>
  <c r="EB4" i="3"/>
  <c r="EA29" i="3"/>
  <c r="EA39" i="3" s="1"/>
  <c r="EB38" i="3"/>
  <c r="EB5" i="3"/>
  <c r="EC2" i="3"/>
  <c r="EB27" i="3"/>
  <c r="EB28" i="3"/>
  <c r="EB3" i="3"/>
  <c r="EA9" i="3"/>
  <c r="EA6" i="3"/>
  <c r="DZ7" i="3"/>
  <c r="EE1" i="3"/>
  <c r="ED64" i="3"/>
  <c r="EC26" i="3" l="1"/>
  <c r="EC49" i="3"/>
  <c r="EA8" i="3"/>
  <c r="EB6" i="3"/>
  <c r="EB9" i="3"/>
  <c r="ED2" i="3"/>
  <c r="EC27" i="3"/>
  <c r="EC28" i="3"/>
  <c r="EC3" i="3"/>
  <c r="EC38" i="3"/>
  <c r="EC5" i="3"/>
  <c r="EA7" i="3"/>
  <c r="EF1" i="3"/>
  <c r="EE64" i="3"/>
  <c r="EB29" i="3"/>
  <c r="EC4" i="3"/>
  <c r="ED26" i="3" l="1"/>
  <c r="ED49" i="3"/>
  <c r="EB8" i="3"/>
  <c r="ED4" i="3"/>
  <c r="EB7" i="3"/>
  <c r="ED27" i="3"/>
  <c r="ED28" i="3"/>
  <c r="EE2" i="3"/>
  <c r="ED38" i="3"/>
  <c r="ED3" i="3"/>
  <c r="ED5" i="3"/>
  <c r="EC9" i="3"/>
  <c r="EC6" i="3"/>
  <c r="EG1" i="3"/>
  <c r="EF64" i="3"/>
  <c r="EB39" i="3"/>
  <c r="EC29" i="3"/>
  <c r="EE26" i="3" l="1"/>
  <c r="EE49" i="3"/>
  <c r="EC8" i="3"/>
  <c r="EE4" i="3"/>
  <c r="ED29" i="3"/>
  <c r="ED39" i="3" s="1"/>
  <c r="EF2" i="3"/>
  <c r="EE38" i="3"/>
  <c r="EE5" i="3"/>
  <c r="EE3" i="3"/>
  <c r="EE27" i="3"/>
  <c r="EE28" i="3"/>
  <c r="ED6" i="3"/>
  <c r="ED9" i="3"/>
  <c r="EC7" i="3"/>
  <c r="EH1" i="3"/>
  <c r="EG64" i="3"/>
  <c r="EC39" i="3"/>
  <c r="EF26" i="3" l="1"/>
  <c r="EF49" i="3"/>
  <c r="ED8" i="3"/>
  <c r="EF4" i="3"/>
  <c r="EE29" i="3"/>
  <c r="EE39" i="3" s="1"/>
  <c r="EF38" i="3"/>
  <c r="EF3" i="3"/>
  <c r="EF5" i="3"/>
  <c r="EG2" i="3"/>
  <c r="EF27" i="3"/>
  <c r="EF28" i="3"/>
  <c r="EE9" i="3"/>
  <c r="EE6" i="3"/>
  <c r="ED7" i="3"/>
  <c r="EI1" i="3"/>
  <c r="EH64" i="3"/>
  <c r="EG26" i="3" l="1"/>
  <c r="EG49" i="3"/>
  <c r="EE8" i="3"/>
  <c r="EF29" i="3"/>
  <c r="EF9" i="3"/>
  <c r="EF6" i="3"/>
  <c r="EG27" i="3"/>
  <c r="EG28" i="3"/>
  <c r="EG38" i="3"/>
  <c r="EG5" i="3"/>
  <c r="EH2" i="3"/>
  <c r="EG3" i="3"/>
  <c r="EE7" i="3"/>
  <c r="EJ1" i="3"/>
  <c r="EI64" i="3"/>
  <c r="EG4" i="3"/>
  <c r="EH26" i="3" l="1"/>
  <c r="EH49" i="3"/>
  <c r="EF8" i="3"/>
  <c r="EF39" i="3"/>
  <c r="EF7" i="3"/>
  <c r="EG6" i="3"/>
  <c r="EG9" i="3"/>
  <c r="EH27" i="3"/>
  <c r="EH28" i="3"/>
  <c r="EH3" i="3"/>
  <c r="EH38" i="3"/>
  <c r="EI2" i="3"/>
  <c r="EH5" i="3"/>
  <c r="EK1" i="3"/>
  <c r="EJ64" i="3"/>
  <c r="EH4" i="3"/>
  <c r="EG29" i="3"/>
  <c r="EI26" i="3" l="1"/>
  <c r="EI49" i="3"/>
  <c r="EG8" i="3"/>
  <c r="EI4" i="3"/>
  <c r="EG7" i="3"/>
  <c r="EI5" i="3"/>
  <c r="EI27" i="3"/>
  <c r="EI28" i="3"/>
  <c r="EI3" i="3"/>
  <c r="EJ2" i="3"/>
  <c r="EI38" i="3"/>
  <c r="EH6" i="3"/>
  <c r="EH9" i="3"/>
  <c r="EL1" i="3"/>
  <c r="EK64" i="3"/>
  <c r="EG39" i="3"/>
  <c r="EH29" i="3"/>
  <c r="EJ26" i="3" l="1"/>
  <c r="EJ49" i="3"/>
  <c r="EH8" i="3"/>
  <c r="EJ4" i="3"/>
  <c r="EI29" i="3"/>
  <c r="EI39" i="3" s="1"/>
  <c r="EI9" i="3"/>
  <c r="EI6" i="3"/>
  <c r="EJ38" i="3"/>
  <c r="EJ3" i="3"/>
  <c r="EJ5" i="3"/>
  <c r="EJ27" i="3"/>
  <c r="EJ28" i="3"/>
  <c r="EK2" i="3"/>
  <c r="EH7" i="3"/>
  <c r="EM1" i="3"/>
  <c r="EL64" i="3"/>
  <c r="EH39" i="3"/>
  <c r="EK26" i="3" l="1"/>
  <c r="EK49" i="3"/>
  <c r="EI8" i="3"/>
  <c r="EI7" i="3"/>
  <c r="EJ6" i="3"/>
  <c r="EJ9" i="3"/>
  <c r="EK38" i="3"/>
  <c r="EK3" i="3"/>
  <c r="EK5" i="3"/>
  <c r="EL2" i="3"/>
  <c r="EK27" i="3"/>
  <c r="EK28" i="3"/>
  <c r="EN1" i="3"/>
  <c r="EM64" i="3"/>
  <c r="EJ29" i="3"/>
  <c r="EK4" i="3"/>
  <c r="EL26" i="3" l="1"/>
  <c r="EL49" i="3"/>
  <c r="EJ8" i="3"/>
  <c r="EL4" i="3"/>
  <c r="EK29" i="3"/>
  <c r="EK39" i="3" s="1"/>
  <c r="EJ7" i="3"/>
  <c r="EK9" i="3"/>
  <c r="EK6" i="3"/>
  <c r="EL5" i="3"/>
  <c r="EM2" i="3"/>
  <c r="EL27" i="3"/>
  <c r="EL28" i="3"/>
  <c r="EL3" i="3"/>
  <c r="EL38" i="3"/>
  <c r="EO1" i="3"/>
  <c r="EN64" i="3"/>
  <c r="EJ39" i="3"/>
  <c r="EM26" i="3" l="1"/>
  <c r="EM49" i="3"/>
  <c r="EK8" i="3"/>
  <c r="EM4" i="3"/>
  <c r="EK7" i="3"/>
  <c r="EL9" i="3"/>
  <c r="EL6" i="3"/>
  <c r="EM27" i="3"/>
  <c r="EM28" i="3"/>
  <c r="EM3" i="3"/>
  <c r="EM38" i="3"/>
  <c r="EM5" i="3"/>
  <c r="EN2" i="3"/>
  <c r="EP1" i="3"/>
  <c r="EO64" i="3"/>
  <c r="EL29" i="3"/>
  <c r="EN26" i="3" l="1"/>
  <c r="EN49" i="3"/>
  <c r="EL8" i="3"/>
  <c r="EM29" i="3"/>
  <c r="EM39" i="3" s="1"/>
  <c r="EL7" i="3"/>
  <c r="EM6" i="3"/>
  <c r="EM9" i="3"/>
  <c r="EN27" i="3"/>
  <c r="EN28" i="3"/>
  <c r="EN3" i="3"/>
  <c r="EN38" i="3"/>
  <c r="EO2" i="3"/>
  <c r="EN5" i="3"/>
  <c r="EQ1" i="3"/>
  <c r="EP64" i="3"/>
  <c r="EL39" i="3"/>
  <c r="EN4" i="3"/>
  <c r="EO26" i="3" l="1"/>
  <c r="EO49" i="3"/>
  <c r="EM8" i="3"/>
  <c r="EN29" i="3"/>
  <c r="EN39" i="3" s="1"/>
  <c r="EM7" i="3"/>
  <c r="EO5" i="3"/>
  <c r="EO27" i="3"/>
  <c r="EO28" i="3"/>
  <c r="EP2" i="3"/>
  <c r="EO3" i="3"/>
  <c r="EO38" i="3"/>
  <c r="EN6" i="3"/>
  <c r="EN9" i="3"/>
  <c r="ER1" i="3"/>
  <c r="EQ64" i="3"/>
  <c r="EO4" i="3"/>
  <c r="EP26" i="3" l="1"/>
  <c r="EP49" i="3"/>
  <c r="EN8" i="3"/>
  <c r="EO9" i="3"/>
  <c r="EO6" i="3"/>
  <c r="EP38" i="3"/>
  <c r="EP5" i="3"/>
  <c r="EP27" i="3"/>
  <c r="EP28" i="3"/>
  <c r="EQ2" i="3"/>
  <c r="EP3" i="3"/>
  <c r="EN7" i="3"/>
  <c r="ES1" i="3"/>
  <c r="ER64" i="3"/>
  <c r="EP4" i="3"/>
  <c r="EO29" i="3"/>
  <c r="EQ26" i="3" l="1"/>
  <c r="EQ49" i="3"/>
  <c r="EO8" i="3"/>
  <c r="EQ4" i="3"/>
  <c r="EP29" i="3"/>
  <c r="EP39" i="3" s="1"/>
  <c r="EO7" i="3"/>
  <c r="EP9" i="3"/>
  <c r="EP6" i="3"/>
  <c r="EQ38" i="3"/>
  <c r="EQ5" i="3"/>
  <c r="ER2" i="3"/>
  <c r="EQ3" i="3"/>
  <c r="EQ27" i="3"/>
  <c r="EQ28" i="3"/>
  <c r="ET1" i="3"/>
  <c r="ES64" i="3"/>
  <c r="EO39" i="3"/>
  <c r="ER26" i="3" l="1"/>
  <c r="ER49" i="3"/>
  <c r="EP8" i="3"/>
  <c r="ER4" i="3"/>
  <c r="EP7" i="3"/>
  <c r="EQ9" i="3"/>
  <c r="EQ6" i="3"/>
  <c r="ER5" i="3"/>
  <c r="ES2" i="3"/>
  <c r="ER27" i="3"/>
  <c r="ER28" i="3"/>
  <c r="ER38" i="3"/>
  <c r="ER3" i="3"/>
  <c r="EU1" i="3"/>
  <c r="ET64" i="3"/>
  <c r="EQ29" i="3"/>
  <c r="ES26" i="3" l="1"/>
  <c r="EQ8" i="3"/>
  <c r="ES49" i="3"/>
  <c r="ES4" i="3"/>
  <c r="EQ7" i="3"/>
  <c r="ER9" i="3"/>
  <c r="ER6" i="3"/>
  <c r="ES27" i="3"/>
  <c r="ES28" i="3"/>
  <c r="ES3" i="3"/>
  <c r="ES38" i="3"/>
  <c r="ES5" i="3"/>
  <c r="ET2" i="3"/>
  <c r="EV1" i="3"/>
  <c r="EU64" i="3"/>
  <c r="EQ39" i="3"/>
  <c r="ER29" i="3"/>
  <c r="ET26" i="3" l="1"/>
  <c r="ET49" i="3"/>
  <c r="ER8" i="3"/>
  <c r="ET4" i="3"/>
  <c r="ER7" i="3"/>
  <c r="ES6" i="3"/>
  <c r="ES9" i="3"/>
  <c r="ET27" i="3"/>
  <c r="ET28" i="3"/>
  <c r="ET38" i="3"/>
  <c r="EU2" i="3"/>
  <c r="ET5" i="3"/>
  <c r="ET3" i="3"/>
  <c r="EW1" i="3"/>
  <c r="EV64" i="3"/>
  <c r="ER39" i="3"/>
  <c r="ES29" i="3"/>
  <c r="EU26" i="3" l="1"/>
  <c r="EU49" i="3"/>
  <c r="ES8" i="3"/>
  <c r="ET29" i="3"/>
  <c r="ET39" i="3" s="1"/>
  <c r="ES7" i="3"/>
  <c r="EU5" i="3"/>
  <c r="EU27" i="3"/>
  <c r="EU28" i="3"/>
  <c r="EU3" i="3"/>
  <c r="EV2" i="3"/>
  <c r="EU38" i="3"/>
  <c r="ET6" i="3"/>
  <c r="ET9" i="3"/>
  <c r="EX1" i="3"/>
  <c r="EW64" i="3"/>
  <c r="ES39" i="3"/>
  <c r="EU4" i="3"/>
  <c r="EV26" i="3" l="1"/>
  <c r="EV49" i="3"/>
  <c r="ET8" i="3"/>
  <c r="EU6" i="3"/>
  <c r="EU9" i="3"/>
  <c r="EV38" i="3"/>
  <c r="EV3" i="3"/>
  <c r="EV5" i="3"/>
  <c r="EV27" i="3"/>
  <c r="EV28" i="3"/>
  <c r="EW2" i="3"/>
  <c r="ET7" i="3"/>
  <c r="EY1" i="3"/>
  <c r="EX64" i="3"/>
  <c r="EU29" i="3"/>
  <c r="EV4" i="3"/>
  <c r="EW26" i="3" l="1"/>
  <c r="EW49" i="3"/>
  <c r="EU8" i="3"/>
  <c r="EU7" i="3"/>
  <c r="EV6" i="3"/>
  <c r="EV9" i="3"/>
  <c r="EW3" i="3"/>
  <c r="EW38" i="3"/>
  <c r="EW5" i="3"/>
  <c r="EX2" i="3"/>
  <c r="EW27" i="3"/>
  <c r="EW28" i="3"/>
  <c r="EZ1" i="3"/>
  <c r="EY64" i="3"/>
  <c r="EU39" i="3"/>
  <c r="EW4" i="3"/>
  <c r="EV29" i="3"/>
  <c r="EX26" i="3" l="1"/>
  <c r="EX49" i="3"/>
  <c r="EV8" i="3"/>
  <c r="EV7" i="3"/>
  <c r="EW6" i="3"/>
  <c r="EW9" i="3"/>
  <c r="EX27" i="3"/>
  <c r="EX28" i="3"/>
  <c r="EX3" i="3"/>
  <c r="EX38" i="3"/>
  <c r="EX5" i="3"/>
  <c r="EY2" i="3"/>
  <c r="FA1" i="3"/>
  <c r="EZ64" i="3"/>
  <c r="EV39" i="3"/>
  <c r="EX4" i="3"/>
  <c r="EW29" i="3"/>
  <c r="EY26" i="3" l="1"/>
  <c r="EY49" i="3"/>
  <c r="EW8" i="3"/>
  <c r="EX29" i="3"/>
  <c r="EX39" i="3" s="1"/>
  <c r="EW7" i="3"/>
  <c r="EX6" i="3"/>
  <c r="EX9" i="3"/>
  <c r="EY5" i="3"/>
  <c r="EZ2" i="3"/>
  <c r="EY27" i="3"/>
  <c r="EY28" i="3"/>
  <c r="EY3" i="3"/>
  <c r="EY38" i="3"/>
  <c r="FB1" i="3"/>
  <c r="FA64" i="3"/>
  <c r="EW39" i="3"/>
  <c r="EY4" i="3"/>
  <c r="EZ26" i="3" l="1"/>
  <c r="EZ49" i="3"/>
  <c r="EX8" i="3"/>
  <c r="EY29" i="3"/>
  <c r="EY39" i="3" s="1"/>
  <c r="EX7" i="3"/>
  <c r="EY6" i="3"/>
  <c r="EY9" i="3"/>
  <c r="EZ27" i="3"/>
  <c r="EZ28" i="3"/>
  <c r="FA2" i="3"/>
  <c r="EZ3" i="3"/>
  <c r="EZ38" i="3"/>
  <c r="EZ5" i="3"/>
  <c r="FC1" i="3"/>
  <c r="FB64" i="3"/>
  <c r="EZ4" i="3"/>
  <c r="FA26" i="3" l="1"/>
  <c r="FA49" i="3"/>
  <c r="EY8" i="3"/>
  <c r="EY7" i="3"/>
  <c r="FB2" i="3"/>
  <c r="FA38" i="3"/>
  <c r="FA5" i="3"/>
  <c r="FA3" i="3"/>
  <c r="FA27" i="3"/>
  <c r="FA28" i="3"/>
  <c r="EZ6" i="3"/>
  <c r="EZ9" i="3"/>
  <c r="FD1" i="3"/>
  <c r="FC64" i="3"/>
  <c r="FA4" i="3"/>
  <c r="EZ29" i="3"/>
  <c r="FB26" i="3" l="1"/>
  <c r="FB49" i="3"/>
  <c r="EZ8" i="3"/>
  <c r="FB4" i="3"/>
  <c r="FA29" i="3"/>
  <c r="FA39" i="3" s="1"/>
  <c r="FB38" i="3"/>
  <c r="FB3" i="3"/>
  <c r="FB5" i="3"/>
  <c r="FC2" i="3"/>
  <c r="FB27" i="3"/>
  <c r="FB28" i="3"/>
  <c r="FA6" i="3"/>
  <c r="FA9" i="3"/>
  <c r="EZ7" i="3"/>
  <c r="FE1" i="3"/>
  <c r="FD64" i="3"/>
  <c r="EZ39" i="3"/>
  <c r="FC26" i="3" l="1"/>
  <c r="FC49" i="3"/>
  <c r="FA8" i="3"/>
  <c r="FB6" i="3"/>
  <c r="FB9" i="3"/>
  <c r="FC27" i="3"/>
  <c r="FC28" i="3"/>
  <c r="FC3" i="3"/>
  <c r="FC38" i="3"/>
  <c r="FC5" i="3"/>
  <c r="FD2" i="3"/>
  <c r="FA7" i="3"/>
  <c r="FF1" i="3"/>
  <c r="FE64" i="3"/>
  <c r="FC4" i="3"/>
  <c r="FB29" i="3"/>
  <c r="FD26" i="3" l="1"/>
  <c r="FD49" i="3"/>
  <c r="FB8" i="3"/>
  <c r="FB7" i="3"/>
  <c r="FC6" i="3"/>
  <c r="FC9" i="3"/>
  <c r="FD3" i="3"/>
  <c r="FD27" i="3"/>
  <c r="FD28" i="3"/>
  <c r="FE2" i="3"/>
  <c r="FD38" i="3"/>
  <c r="FD5" i="3"/>
  <c r="FG1" i="3"/>
  <c r="FF64" i="3"/>
  <c r="FB39" i="3"/>
  <c r="FD4" i="3"/>
  <c r="FC29" i="3"/>
  <c r="FE26" i="3" l="1"/>
  <c r="FE49" i="3"/>
  <c r="FC8" i="3"/>
  <c r="FC7" i="3"/>
  <c r="FE3" i="3"/>
  <c r="FE38" i="3"/>
  <c r="FF2" i="3"/>
  <c r="FE5" i="3"/>
  <c r="FE27" i="3"/>
  <c r="FE28" i="3"/>
  <c r="FD6" i="3"/>
  <c r="FD9" i="3"/>
  <c r="FH1" i="3"/>
  <c r="FG64" i="3"/>
  <c r="FC39" i="3"/>
  <c r="FE4" i="3"/>
  <c r="FD29" i="3"/>
  <c r="FF26" i="3" l="1"/>
  <c r="FF49" i="3"/>
  <c r="FD8" i="3"/>
  <c r="FF4" i="3"/>
  <c r="FE29" i="3"/>
  <c r="FE39" i="3" s="1"/>
  <c r="FF5" i="3"/>
  <c r="FF27" i="3"/>
  <c r="FF28" i="3"/>
  <c r="FG2" i="3"/>
  <c r="FF3" i="3"/>
  <c r="FF38" i="3"/>
  <c r="FE6" i="3"/>
  <c r="FE9" i="3"/>
  <c r="FD7" i="3"/>
  <c r="FI1" i="3"/>
  <c r="FH64" i="3"/>
  <c r="FD39" i="3"/>
  <c r="FG26" i="3" l="1"/>
  <c r="FG49" i="3"/>
  <c r="FE8" i="3"/>
  <c r="FF29" i="3"/>
  <c r="FF39" i="3" s="1"/>
  <c r="FF6" i="3"/>
  <c r="FF9" i="3"/>
  <c r="FG38" i="3"/>
  <c r="FG3" i="3"/>
  <c r="FH2" i="3"/>
  <c r="FG5" i="3"/>
  <c r="FG27" i="3"/>
  <c r="FG28" i="3"/>
  <c r="FE7" i="3"/>
  <c r="FJ1" i="3"/>
  <c r="FI64" i="3"/>
  <c r="FG4" i="3"/>
  <c r="FH26" i="3" l="1"/>
  <c r="FH49" i="3"/>
  <c r="FF8" i="3"/>
  <c r="FH4" i="3"/>
  <c r="FF7" i="3"/>
  <c r="FI2" i="3"/>
  <c r="FH27" i="3"/>
  <c r="FH28" i="3"/>
  <c r="FH3" i="3"/>
  <c r="FH38" i="3"/>
  <c r="FH5" i="3"/>
  <c r="FG6" i="3"/>
  <c r="FG9" i="3"/>
  <c r="FK1" i="3"/>
  <c r="FJ64" i="3"/>
  <c r="FG29" i="3"/>
  <c r="FI26" i="3" l="1"/>
  <c r="FI49" i="3"/>
  <c r="FG8" i="3"/>
  <c r="FI27" i="3"/>
  <c r="FI28" i="3"/>
  <c r="FJ2" i="3"/>
  <c r="FI3" i="3"/>
  <c r="FI38" i="3"/>
  <c r="FI5" i="3"/>
  <c r="FH6" i="3"/>
  <c r="FH9" i="3"/>
  <c r="FG7" i="3"/>
  <c r="FK64" i="3"/>
  <c r="FG39" i="3"/>
  <c r="FH29" i="3"/>
  <c r="FI4" i="3"/>
  <c r="FJ26" i="3" l="1"/>
  <c r="FJ49" i="3"/>
  <c r="FH8" i="3"/>
  <c r="FJ4" i="3"/>
  <c r="FJ38" i="3"/>
  <c r="FJ5" i="3"/>
  <c r="FK2" i="3"/>
  <c r="FJ27" i="3"/>
  <c r="FJ28" i="3"/>
  <c r="FJ3" i="3"/>
  <c r="FI6" i="3"/>
  <c r="FI9" i="3"/>
  <c r="FH7" i="3"/>
  <c r="FH39" i="3"/>
  <c r="FI29" i="3"/>
  <c r="FK26" i="3" l="1"/>
  <c r="FK49" i="3"/>
  <c r="C34" i="3" s="1"/>
  <c r="FI8" i="3"/>
  <c r="FJ6" i="3"/>
  <c r="FJ9" i="3"/>
  <c r="FK27" i="3"/>
  <c r="FK28" i="3"/>
  <c r="FK3" i="3"/>
  <c r="C20" i="1" s="1"/>
  <c r="FK38" i="3"/>
  <c r="FK5" i="3"/>
  <c r="FI7" i="3"/>
  <c r="FI39" i="3"/>
  <c r="FK4" i="3"/>
  <c r="FJ29" i="3"/>
  <c r="FH66" i="3" l="1"/>
  <c r="FD66" i="3"/>
  <c r="FC66" i="3"/>
  <c r="FB66" i="3"/>
  <c r="EZ66" i="3"/>
  <c r="EY66" i="3"/>
  <c r="EW66" i="3"/>
  <c r="EU66" i="3"/>
  <c r="ET66" i="3"/>
  <c r="ES66" i="3"/>
  <c r="EQ66" i="3"/>
  <c r="EO66" i="3"/>
  <c r="EM66" i="3"/>
  <c r="EK66" i="3"/>
  <c r="EJ66" i="3"/>
  <c r="EH66" i="3"/>
  <c r="EF66" i="3"/>
  <c r="EE66" i="3"/>
  <c r="EA66" i="3"/>
  <c r="DY66" i="3"/>
  <c r="DW66" i="3"/>
  <c r="DV66" i="3"/>
  <c r="DR66" i="3"/>
  <c r="DQ66" i="3"/>
  <c r="DO66" i="3"/>
  <c r="DN66" i="3"/>
  <c r="DM66" i="3"/>
  <c r="DK66" i="3"/>
  <c r="DJ66" i="3"/>
  <c r="DI66" i="3"/>
  <c r="DH66" i="3"/>
  <c r="DG66" i="3"/>
  <c r="DF66" i="3"/>
  <c r="DA66" i="3"/>
  <c r="CX66" i="3"/>
  <c r="CU66" i="3"/>
  <c r="CS66" i="3"/>
  <c r="CR66" i="3"/>
  <c r="CQ66" i="3"/>
  <c r="CP66" i="3"/>
  <c r="CO66" i="3"/>
  <c r="CN66" i="3"/>
  <c r="CM66" i="3"/>
  <c r="CK66" i="3"/>
  <c r="CJ66" i="3"/>
  <c r="CH66" i="3"/>
  <c r="CE66" i="3"/>
  <c r="CD66" i="3"/>
  <c r="CC66" i="3"/>
  <c r="BZ66" i="3"/>
  <c r="BX66" i="3"/>
  <c r="BW66" i="3"/>
  <c r="BU66" i="3"/>
  <c r="BT66" i="3"/>
  <c r="BS66" i="3"/>
  <c r="BQ66" i="3"/>
  <c r="BP66" i="3"/>
  <c r="BO66" i="3"/>
  <c r="BM66" i="3"/>
  <c r="BJ66" i="3"/>
  <c r="BI66" i="3"/>
  <c r="BH66" i="3"/>
  <c r="BC66" i="3"/>
  <c r="BB66" i="3"/>
  <c r="AY66" i="3"/>
  <c r="AW66" i="3"/>
  <c r="AV66" i="3"/>
  <c r="AU66" i="3"/>
  <c r="AR66" i="3"/>
  <c r="AQ66" i="3"/>
  <c r="AP66" i="3"/>
  <c r="AM66" i="3"/>
  <c r="AG66" i="3"/>
  <c r="AE66" i="3"/>
  <c r="AC66" i="3"/>
  <c r="AB66" i="3"/>
  <c r="AA66" i="3"/>
  <c r="V26" i="3"/>
  <c r="V66" i="3"/>
  <c r="T26" i="3"/>
  <c r="T66" i="3"/>
  <c r="R26" i="3"/>
  <c r="R66" i="3"/>
  <c r="P26" i="3"/>
  <c r="P66" i="3"/>
  <c r="N26" i="3"/>
  <c r="N66" i="3"/>
  <c r="L26" i="3"/>
  <c r="L66" i="3"/>
  <c r="J26" i="3"/>
  <c r="J66" i="3"/>
  <c r="H66" i="3"/>
  <c r="H26" i="3"/>
  <c r="F26" i="3"/>
  <c r="F66" i="3"/>
  <c r="E26" i="3"/>
  <c r="E66" i="3"/>
  <c r="E67" i="3" s="1"/>
  <c r="G66" i="3"/>
  <c r="G26" i="3"/>
  <c r="I66" i="3"/>
  <c r="I26" i="3"/>
  <c r="K26" i="3"/>
  <c r="K66" i="3"/>
  <c r="M26" i="3"/>
  <c r="M66" i="3"/>
  <c r="O66" i="3"/>
  <c r="O26" i="3"/>
  <c r="Q66" i="3"/>
  <c r="Q26" i="3"/>
  <c r="S66" i="3"/>
  <c r="S26" i="3"/>
  <c r="U66" i="3"/>
  <c r="U26" i="3"/>
  <c r="W26" i="3"/>
  <c r="W66" i="3"/>
  <c r="X66" i="3"/>
  <c r="Y66" i="3"/>
  <c r="Z66" i="3"/>
  <c r="AD66" i="3"/>
  <c r="AF66" i="3"/>
  <c r="AH66" i="3"/>
  <c r="AI66" i="3"/>
  <c r="AJ66" i="3"/>
  <c r="AK66" i="3"/>
  <c r="AL66" i="3"/>
  <c r="AN66" i="3"/>
  <c r="AO66" i="3"/>
  <c r="AS66" i="3"/>
  <c r="AT66" i="3"/>
  <c r="AX66" i="3"/>
  <c r="AZ66" i="3"/>
  <c r="BA66" i="3"/>
  <c r="BD66" i="3"/>
  <c r="BE66" i="3"/>
  <c r="BF66" i="3"/>
  <c r="BG66" i="3"/>
  <c r="BK66" i="3"/>
  <c r="BL66" i="3"/>
  <c r="BN66" i="3"/>
  <c r="BR66" i="3"/>
  <c r="BV66" i="3"/>
  <c r="BY66" i="3"/>
  <c r="CA66" i="3"/>
  <c r="CB66" i="3"/>
  <c r="CF66" i="3"/>
  <c r="CG66" i="3"/>
  <c r="CI66" i="3"/>
  <c r="CL66" i="3"/>
  <c r="CT66" i="3"/>
  <c r="CV66" i="3"/>
  <c r="CW66" i="3"/>
  <c r="CY66" i="3"/>
  <c r="CZ66" i="3"/>
  <c r="DB66" i="3"/>
  <c r="DC66" i="3"/>
  <c r="DD66" i="3"/>
  <c r="DE66" i="3"/>
  <c r="DL66" i="3"/>
  <c r="DP66" i="3"/>
  <c r="DS66" i="3"/>
  <c r="DT66" i="3"/>
  <c r="DU66" i="3"/>
  <c r="DX66" i="3"/>
  <c r="DZ66" i="3"/>
  <c r="EB66" i="3"/>
  <c r="EC66" i="3"/>
  <c r="ED66" i="3"/>
  <c r="EG66" i="3"/>
  <c r="EI66" i="3"/>
  <c r="EL66" i="3"/>
  <c r="EN66" i="3"/>
  <c r="EP66" i="3"/>
  <c r="ER66" i="3"/>
  <c r="EV66" i="3"/>
  <c r="EX66" i="3"/>
  <c r="FA66" i="3"/>
  <c r="FE66" i="3"/>
  <c r="FF66" i="3"/>
  <c r="FG66" i="3"/>
  <c r="FI66" i="3"/>
  <c r="E36" i="3"/>
  <c r="G7" i="1"/>
  <c r="E45" i="3"/>
  <c r="E46" i="3" s="1"/>
  <c r="E47" i="3" s="1"/>
  <c r="G23" i="1"/>
  <c r="C33" i="3"/>
  <c r="FJ8" i="3"/>
  <c r="FJ66" i="3" s="1"/>
  <c r="FK29" i="3"/>
  <c r="FK39" i="3" s="1"/>
  <c r="FJ7" i="3"/>
  <c r="FK6" i="3"/>
  <c r="FK9" i="3"/>
  <c r="FJ39" i="3"/>
  <c r="W27" i="3" l="1"/>
  <c r="E30" i="3"/>
  <c r="E68" i="3"/>
  <c r="E69" i="3" s="1"/>
  <c r="F67" i="3"/>
  <c r="G6" i="1"/>
  <c r="G8" i="1"/>
  <c r="E37" i="3"/>
  <c r="E63" i="3"/>
  <c r="E42" i="3" s="1"/>
  <c r="F45" i="3"/>
  <c r="F46" i="3" s="1"/>
  <c r="FK8" i="3"/>
  <c r="FK66" i="3" s="1"/>
  <c r="FK7" i="3"/>
  <c r="G16" i="1" l="1"/>
  <c r="G17" i="1" s="1"/>
  <c r="W29" i="3"/>
  <c r="G67" i="3"/>
  <c r="F68" i="3"/>
  <c r="F25" i="3"/>
  <c r="F30" i="3" s="1"/>
  <c r="G25" i="3" s="1"/>
  <c r="G30" i="3" s="1"/>
  <c r="H25" i="3" s="1"/>
  <c r="H30" i="3" s="1"/>
  <c r="I25" i="3" s="1"/>
  <c r="I30" i="3" s="1"/>
  <c r="J25" i="3" s="1"/>
  <c r="J30" i="3" s="1"/>
  <c r="K25" i="3" s="1"/>
  <c r="K30" i="3" s="1"/>
  <c r="L25" i="3" s="1"/>
  <c r="L30" i="3" s="1"/>
  <c r="M25" i="3" s="1"/>
  <c r="M30" i="3" s="1"/>
  <c r="N25" i="3" s="1"/>
  <c r="N30" i="3" s="1"/>
  <c r="O25" i="3" s="1"/>
  <c r="O30" i="3" s="1"/>
  <c r="P25" i="3" s="1"/>
  <c r="P30" i="3" s="1"/>
  <c r="Q25" i="3" s="1"/>
  <c r="Q30" i="3" s="1"/>
  <c r="R25" i="3" s="1"/>
  <c r="R30" i="3" s="1"/>
  <c r="S25" i="3" s="1"/>
  <c r="S30" i="3" s="1"/>
  <c r="T25" i="3" s="1"/>
  <c r="T30" i="3" s="1"/>
  <c r="U25" i="3" s="1"/>
  <c r="U30" i="3" s="1"/>
  <c r="V25" i="3" s="1"/>
  <c r="V30" i="3" s="1"/>
  <c r="W25" i="3" s="1"/>
  <c r="E48" i="3"/>
  <c r="G5" i="1"/>
  <c r="C58" i="1" s="1"/>
  <c r="E40" i="3"/>
  <c r="F36" i="3" s="1"/>
  <c r="F47" i="3"/>
  <c r="W30" i="3" l="1"/>
  <c r="X25" i="3" s="1"/>
  <c r="X30" i="3" s="1"/>
  <c r="Y25" i="3" s="1"/>
  <c r="Y30" i="3" s="1"/>
  <c r="Z25" i="3" s="1"/>
  <c r="Z30" i="3" s="1"/>
  <c r="AA25" i="3" s="1"/>
  <c r="AA30" i="3" s="1"/>
  <c r="AB25" i="3" s="1"/>
  <c r="AB30" i="3" s="1"/>
  <c r="AC25" i="3" s="1"/>
  <c r="AC30" i="3" s="1"/>
  <c r="AD25" i="3" s="1"/>
  <c r="AD30" i="3" s="1"/>
  <c r="AE25" i="3" s="1"/>
  <c r="AE30" i="3" s="1"/>
  <c r="AF25" i="3" s="1"/>
  <c r="AF30" i="3" s="1"/>
  <c r="AG25" i="3" s="1"/>
  <c r="AG30" i="3" s="1"/>
  <c r="AH25" i="3" s="1"/>
  <c r="AH30" i="3" s="1"/>
  <c r="AI25" i="3" s="1"/>
  <c r="AI30" i="3" s="1"/>
  <c r="AJ25" i="3" s="1"/>
  <c r="AJ30" i="3" s="1"/>
  <c r="AK25" i="3" s="1"/>
  <c r="AK30" i="3" s="1"/>
  <c r="AL25" i="3" s="1"/>
  <c r="AL30" i="3" s="1"/>
  <c r="AM25" i="3" s="1"/>
  <c r="AM30" i="3" s="1"/>
  <c r="AN25" i="3" s="1"/>
  <c r="AN30" i="3" s="1"/>
  <c r="AO25" i="3" s="1"/>
  <c r="AO30" i="3" s="1"/>
  <c r="AP25" i="3" s="1"/>
  <c r="AP30" i="3" s="1"/>
  <c r="AQ25" i="3" s="1"/>
  <c r="AQ30" i="3" s="1"/>
  <c r="AR25" i="3" s="1"/>
  <c r="AR30" i="3" s="1"/>
  <c r="AS25" i="3" s="1"/>
  <c r="AS30" i="3" s="1"/>
  <c r="AT25" i="3" s="1"/>
  <c r="AT30" i="3" s="1"/>
  <c r="AU25" i="3" s="1"/>
  <c r="AU30" i="3" s="1"/>
  <c r="AV25" i="3" s="1"/>
  <c r="AV30" i="3" s="1"/>
  <c r="AW25" i="3" s="1"/>
  <c r="AW30" i="3" s="1"/>
  <c r="AX25" i="3" s="1"/>
  <c r="AX30" i="3" s="1"/>
  <c r="AY25" i="3" s="1"/>
  <c r="AY30" i="3" s="1"/>
  <c r="AZ25" i="3" s="1"/>
  <c r="AZ30" i="3" s="1"/>
  <c r="BA25" i="3" s="1"/>
  <c r="BA30" i="3" s="1"/>
  <c r="BB25" i="3" s="1"/>
  <c r="BB30" i="3" s="1"/>
  <c r="BC25" i="3" s="1"/>
  <c r="BC30" i="3" s="1"/>
  <c r="BD25" i="3" s="1"/>
  <c r="BD30" i="3" s="1"/>
  <c r="BE25" i="3" s="1"/>
  <c r="BE30" i="3" s="1"/>
  <c r="BF25" i="3" s="1"/>
  <c r="BF30" i="3" s="1"/>
  <c r="BG25" i="3" s="1"/>
  <c r="BG30" i="3" s="1"/>
  <c r="BH25" i="3" s="1"/>
  <c r="BH30" i="3" s="1"/>
  <c r="BI25" i="3" s="1"/>
  <c r="BI30" i="3" s="1"/>
  <c r="BJ25" i="3" s="1"/>
  <c r="BJ30" i="3" s="1"/>
  <c r="BK25" i="3" s="1"/>
  <c r="BK30" i="3" s="1"/>
  <c r="BL25" i="3" s="1"/>
  <c r="BL30" i="3" s="1"/>
  <c r="BM25" i="3" s="1"/>
  <c r="BM30" i="3" s="1"/>
  <c r="BN25" i="3" s="1"/>
  <c r="BN30" i="3" s="1"/>
  <c r="BO25" i="3" s="1"/>
  <c r="BO30" i="3" s="1"/>
  <c r="BP25" i="3" s="1"/>
  <c r="BP30" i="3" s="1"/>
  <c r="BQ25" i="3" s="1"/>
  <c r="BQ30" i="3" s="1"/>
  <c r="BR25" i="3" s="1"/>
  <c r="BR30" i="3" s="1"/>
  <c r="BS25" i="3" s="1"/>
  <c r="BS30" i="3" s="1"/>
  <c r="BT25" i="3" s="1"/>
  <c r="BT30" i="3" s="1"/>
  <c r="BU25" i="3" s="1"/>
  <c r="BU30" i="3" s="1"/>
  <c r="BV25" i="3" s="1"/>
  <c r="BV30" i="3" s="1"/>
  <c r="BW25" i="3" s="1"/>
  <c r="BW30" i="3" s="1"/>
  <c r="BX25" i="3" s="1"/>
  <c r="BX30" i="3" s="1"/>
  <c r="BY25" i="3" s="1"/>
  <c r="BY30" i="3" s="1"/>
  <c r="BZ25" i="3" s="1"/>
  <c r="BZ30" i="3" s="1"/>
  <c r="CA25" i="3" s="1"/>
  <c r="CA30" i="3" s="1"/>
  <c r="CB25" i="3" s="1"/>
  <c r="CB30" i="3" s="1"/>
  <c r="CC25" i="3" s="1"/>
  <c r="CC30" i="3" s="1"/>
  <c r="CD25" i="3" s="1"/>
  <c r="CD30" i="3" s="1"/>
  <c r="CE25" i="3" s="1"/>
  <c r="CE30" i="3" s="1"/>
  <c r="CF25" i="3" s="1"/>
  <c r="CF30" i="3" s="1"/>
  <c r="CG25" i="3" s="1"/>
  <c r="CG30" i="3" s="1"/>
  <c r="CH25" i="3" s="1"/>
  <c r="CH30" i="3" s="1"/>
  <c r="CI25" i="3" s="1"/>
  <c r="CI30" i="3" s="1"/>
  <c r="CJ25" i="3" s="1"/>
  <c r="CJ30" i="3" s="1"/>
  <c r="CK25" i="3" s="1"/>
  <c r="CK30" i="3" s="1"/>
  <c r="CL25" i="3" s="1"/>
  <c r="CL30" i="3" s="1"/>
  <c r="CM25" i="3" s="1"/>
  <c r="CM30" i="3" s="1"/>
  <c r="CN25" i="3" s="1"/>
  <c r="CN30" i="3" s="1"/>
  <c r="CO25" i="3" s="1"/>
  <c r="CO30" i="3" s="1"/>
  <c r="CP25" i="3" s="1"/>
  <c r="CP30" i="3" s="1"/>
  <c r="CQ25" i="3" s="1"/>
  <c r="CQ30" i="3" s="1"/>
  <c r="CR25" i="3" s="1"/>
  <c r="CR30" i="3" s="1"/>
  <c r="CS25" i="3" s="1"/>
  <c r="CS30" i="3" s="1"/>
  <c r="CT25" i="3" s="1"/>
  <c r="CT30" i="3" s="1"/>
  <c r="CU25" i="3" s="1"/>
  <c r="CU30" i="3" s="1"/>
  <c r="CV25" i="3" s="1"/>
  <c r="CV30" i="3" s="1"/>
  <c r="CW25" i="3" s="1"/>
  <c r="CW30" i="3" s="1"/>
  <c r="CX25" i="3" s="1"/>
  <c r="CX30" i="3" s="1"/>
  <c r="CY25" i="3" s="1"/>
  <c r="CY30" i="3" s="1"/>
  <c r="CZ25" i="3" s="1"/>
  <c r="CZ30" i="3" s="1"/>
  <c r="DA25" i="3" s="1"/>
  <c r="DA30" i="3" s="1"/>
  <c r="DB25" i="3" s="1"/>
  <c r="DB30" i="3" s="1"/>
  <c r="DC25" i="3" s="1"/>
  <c r="DC30" i="3" s="1"/>
  <c r="DD25" i="3" s="1"/>
  <c r="DD30" i="3" s="1"/>
  <c r="DE25" i="3" s="1"/>
  <c r="DE30" i="3" s="1"/>
  <c r="DF25" i="3" s="1"/>
  <c r="DF30" i="3" s="1"/>
  <c r="DG25" i="3" s="1"/>
  <c r="DG30" i="3" s="1"/>
  <c r="DH25" i="3" s="1"/>
  <c r="DH30" i="3" s="1"/>
  <c r="DI25" i="3" s="1"/>
  <c r="DI30" i="3" s="1"/>
  <c r="DJ25" i="3" s="1"/>
  <c r="DJ30" i="3" s="1"/>
  <c r="DK25" i="3" s="1"/>
  <c r="DK30" i="3" s="1"/>
  <c r="DL25" i="3" s="1"/>
  <c r="DL30" i="3" s="1"/>
  <c r="DM25" i="3" s="1"/>
  <c r="DM30" i="3" s="1"/>
  <c r="DN25" i="3" s="1"/>
  <c r="DN30" i="3" s="1"/>
  <c r="DO25" i="3" s="1"/>
  <c r="DO30" i="3" s="1"/>
  <c r="DP25" i="3" s="1"/>
  <c r="DP30" i="3" s="1"/>
  <c r="DQ25" i="3" s="1"/>
  <c r="DQ30" i="3" s="1"/>
  <c r="DR25" i="3" s="1"/>
  <c r="DR30" i="3" s="1"/>
  <c r="DS25" i="3" s="1"/>
  <c r="DS30" i="3" s="1"/>
  <c r="DT25" i="3" s="1"/>
  <c r="DT30" i="3" s="1"/>
  <c r="DU25" i="3" s="1"/>
  <c r="DU30" i="3" s="1"/>
  <c r="DV25" i="3" s="1"/>
  <c r="DV30" i="3" s="1"/>
  <c r="DW25" i="3" s="1"/>
  <c r="DW30" i="3" s="1"/>
  <c r="DX25" i="3" s="1"/>
  <c r="DX30" i="3" s="1"/>
  <c r="DY25" i="3" s="1"/>
  <c r="DY30" i="3" s="1"/>
  <c r="DZ25" i="3" s="1"/>
  <c r="DZ30" i="3" s="1"/>
  <c r="EA25" i="3" s="1"/>
  <c r="EA30" i="3" s="1"/>
  <c r="EB25" i="3" s="1"/>
  <c r="EB30" i="3" s="1"/>
  <c r="EC25" i="3" s="1"/>
  <c r="EC30" i="3" s="1"/>
  <c r="ED25" i="3" s="1"/>
  <c r="ED30" i="3" s="1"/>
  <c r="EE25" i="3" s="1"/>
  <c r="EE30" i="3" s="1"/>
  <c r="EF25" i="3" s="1"/>
  <c r="EF30" i="3" s="1"/>
  <c r="EG25" i="3" s="1"/>
  <c r="EG30" i="3" s="1"/>
  <c r="EH25" i="3" s="1"/>
  <c r="EH30" i="3" s="1"/>
  <c r="EI25" i="3" s="1"/>
  <c r="EI30" i="3" s="1"/>
  <c r="EJ25" i="3" s="1"/>
  <c r="EJ30" i="3" s="1"/>
  <c r="EK25" i="3" s="1"/>
  <c r="EK30" i="3" s="1"/>
  <c r="EL25" i="3" s="1"/>
  <c r="EL30" i="3" s="1"/>
  <c r="EM25" i="3" s="1"/>
  <c r="EM30" i="3" s="1"/>
  <c r="EN25" i="3" s="1"/>
  <c r="EN30" i="3" s="1"/>
  <c r="EO25" i="3" s="1"/>
  <c r="EO30" i="3" s="1"/>
  <c r="EP25" i="3" s="1"/>
  <c r="EP30" i="3" s="1"/>
  <c r="EQ25" i="3" s="1"/>
  <c r="EQ30" i="3" s="1"/>
  <c r="ER25" i="3" s="1"/>
  <c r="ER30" i="3" s="1"/>
  <c r="ES25" i="3" s="1"/>
  <c r="ES30" i="3" s="1"/>
  <c r="ET25" i="3" s="1"/>
  <c r="ET30" i="3" s="1"/>
  <c r="EU25" i="3" s="1"/>
  <c r="EU30" i="3" s="1"/>
  <c r="EV25" i="3" s="1"/>
  <c r="EV30" i="3" s="1"/>
  <c r="EW25" i="3" s="1"/>
  <c r="EW30" i="3" s="1"/>
  <c r="EX25" i="3" s="1"/>
  <c r="EX30" i="3" s="1"/>
  <c r="EY25" i="3" s="1"/>
  <c r="EY30" i="3" s="1"/>
  <c r="EZ25" i="3" s="1"/>
  <c r="EZ30" i="3" s="1"/>
  <c r="FA25" i="3" s="1"/>
  <c r="FA30" i="3" s="1"/>
  <c r="FB25" i="3" s="1"/>
  <c r="FB30" i="3" s="1"/>
  <c r="FC25" i="3" s="1"/>
  <c r="FC30" i="3" s="1"/>
  <c r="FD25" i="3" s="1"/>
  <c r="FD30" i="3" s="1"/>
  <c r="FE25" i="3" s="1"/>
  <c r="FE30" i="3" s="1"/>
  <c r="FF25" i="3" s="1"/>
  <c r="FF30" i="3" s="1"/>
  <c r="FG25" i="3" s="1"/>
  <c r="FG30" i="3" s="1"/>
  <c r="FH25" i="3" s="1"/>
  <c r="FH30" i="3" s="1"/>
  <c r="FI25" i="3" s="1"/>
  <c r="FI30" i="3" s="1"/>
  <c r="FJ25" i="3" s="1"/>
  <c r="FJ30" i="3" s="1"/>
  <c r="FK25" i="3" s="1"/>
  <c r="FK30" i="3" s="1"/>
  <c r="W39" i="3"/>
  <c r="H67" i="3"/>
  <c r="G68" i="3"/>
  <c r="F69" i="3"/>
  <c r="F37" i="3"/>
  <c r="F63" i="3"/>
  <c r="F42" i="3" s="1"/>
  <c r="G45" i="3"/>
  <c r="G46" i="3" s="1"/>
  <c r="F48" i="3"/>
  <c r="I67" i="3" l="1"/>
  <c r="H68" i="3"/>
  <c r="F40" i="3"/>
  <c r="G36" i="3" s="1"/>
  <c r="J67" i="3" l="1"/>
  <c r="I68" i="3"/>
  <c r="G37" i="3"/>
  <c r="G47" i="3"/>
  <c r="G69" i="3" s="1"/>
  <c r="K67" i="3" l="1"/>
  <c r="J68" i="3"/>
  <c r="G40" i="3"/>
  <c r="H36" i="3" s="1"/>
  <c r="G48" i="3"/>
  <c r="H45" i="3"/>
  <c r="H46" i="3" s="1"/>
  <c r="G63" i="3"/>
  <c r="G42" i="3" s="1"/>
  <c r="L67" i="3" l="1"/>
  <c r="K68" i="3"/>
  <c r="H37" i="3"/>
  <c r="M67" i="3" l="1"/>
  <c r="L68" i="3"/>
  <c r="H40" i="3"/>
  <c r="I36" i="3" s="1"/>
  <c r="H47" i="3"/>
  <c r="H69" i="3" s="1"/>
  <c r="N67" i="3" l="1"/>
  <c r="M68" i="3"/>
  <c r="I37" i="3"/>
  <c r="I45" i="3"/>
  <c r="I46" i="3" s="1"/>
  <c r="H48" i="3"/>
  <c r="H63" i="3"/>
  <c r="H42" i="3" s="1"/>
  <c r="O67" i="3" l="1"/>
  <c r="N68" i="3"/>
  <c r="I40" i="3"/>
  <c r="J36" i="3" s="1"/>
  <c r="P67" i="3" l="1"/>
  <c r="O68" i="3"/>
  <c r="J37" i="3"/>
  <c r="I47" i="3"/>
  <c r="I69" i="3" s="1"/>
  <c r="Q67" i="3" l="1"/>
  <c r="P68" i="3"/>
  <c r="J40" i="3"/>
  <c r="K36" i="3" s="1"/>
  <c r="K37" i="3" s="1"/>
  <c r="K38" i="3" s="1"/>
  <c r="I63" i="3"/>
  <c r="I42" i="3" s="1"/>
  <c r="J45" i="3"/>
  <c r="J46" i="3" s="1"/>
  <c r="I48" i="3"/>
  <c r="R67" i="3" l="1"/>
  <c r="Q68" i="3"/>
  <c r="K40" i="3"/>
  <c r="L36" i="3" s="1"/>
  <c r="S67" i="3" l="1"/>
  <c r="R68" i="3"/>
  <c r="L37" i="3"/>
  <c r="J47" i="3"/>
  <c r="J69" i="3" s="1"/>
  <c r="T67" i="3" l="1"/>
  <c r="S68" i="3"/>
  <c r="L40" i="3"/>
  <c r="M36" i="3" s="1"/>
  <c r="M37" i="3" s="1"/>
  <c r="J63" i="3"/>
  <c r="J42" i="3" s="1"/>
  <c r="K45" i="3"/>
  <c r="K46" i="3" s="1"/>
  <c r="J48" i="3"/>
  <c r="U67" i="3" l="1"/>
  <c r="T68" i="3"/>
  <c r="M40" i="3"/>
  <c r="N36" i="3" s="1"/>
  <c r="V67" i="3" l="1"/>
  <c r="U68" i="3"/>
  <c r="N37" i="3"/>
  <c r="K47" i="3"/>
  <c r="K69" i="3" s="1"/>
  <c r="W67" i="3" l="1"/>
  <c r="V68" i="3"/>
  <c r="N40" i="3"/>
  <c r="O36" i="3" s="1"/>
  <c r="K63" i="3"/>
  <c r="K42" i="3" s="1"/>
  <c r="L45" i="3"/>
  <c r="L46" i="3" s="1"/>
  <c r="K48" i="3"/>
  <c r="W68" i="3" l="1"/>
  <c r="X67" i="3"/>
  <c r="O37" i="3"/>
  <c r="X68" i="3" l="1"/>
  <c r="Y67" i="3"/>
  <c r="O40" i="3"/>
  <c r="P36" i="3" s="1"/>
  <c r="L47" i="3"/>
  <c r="L69" i="3" s="1"/>
  <c r="Y68" i="3" l="1"/>
  <c r="Z67" i="3"/>
  <c r="P37" i="3"/>
  <c r="M45" i="3"/>
  <c r="M46" i="3" s="1"/>
  <c r="L48" i="3"/>
  <c r="L63" i="3"/>
  <c r="L42" i="3" s="1"/>
  <c r="AA67" i="3" l="1"/>
  <c r="Z68" i="3"/>
  <c r="P40" i="3"/>
  <c r="Q36" i="3" s="1"/>
  <c r="Q37" i="3" s="1"/>
  <c r="AB67" i="3" l="1"/>
  <c r="AA68" i="3"/>
  <c r="Q40" i="3"/>
  <c r="R36" i="3" s="1"/>
  <c r="R37" i="3" s="1"/>
  <c r="M47" i="3"/>
  <c r="M69" i="3" s="1"/>
  <c r="AC67" i="3" l="1"/>
  <c r="AB68" i="3"/>
  <c r="R40" i="3"/>
  <c r="S36" i="3" s="1"/>
  <c r="N45" i="3"/>
  <c r="N46" i="3" s="1"/>
  <c r="M48" i="3"/>
  <c r="M63" i="3"/>
  <c r="M42" i="3" s="1"/>
  <c r="AD67" i="3" l="1"/>
  <c r="AC68" i="3"/>
  <c r="S37" i="3"/>
  <c r="S40" i="3" s="1"/>
  <c r="T36" i="3" s="1"/>
  <c r="AE67" i="3" l="1"/>
  <c r="AD68" i="3"/>
  <c r="T37" i="3"/>
  <c r="N47" i="3"/>
  <c r="N69" i="3" s="1"/>
  <c r="AF67" i="3" l="1"/>
  <c r="AE68" i="3"/>
  <c r="T40" i="3"/>
  <c r="U36" i="3" s="1"/>
  <c r="N48" i="3"/>
  <c r="O45" i="3"/>
  <c r="O46" i="3" s="1"/>
  <c r="N63" i="3"/>
  <c r="N42" i="3" s="1"/>
  <c r="AG67" i="3" l="1"/>
  <c r="AF68" i="3"/>
  <c r="U37" i="3"/>
  <c r="AH67" i="3" l="1"/>
  <c r="AG68" i="3"/>
  <c r="U40" i="3"/>
  <c r="V36" i="3" s="1"/>
  <c r="O47" i="3"/>
  <c r="O69" i="3" s="1"/>
  <c r="AH68" i="3" l="1"/>
  <c r="AI67" i="3"/>
  <c r="V37" i="3"/>
  <c r="V40" i="3" s="1"/>
  <c r="W36" i="3" s="1"/>
  <c r="W37" i="3" s="1"/>
  <c r="W38" i="3" s="1"/>
  <c r="O48" i="3"/>
  <c r="P45" i="3"/>
  <c r="P46" i="3" s="1"/>
  <c r="O63" i="3"/>
  <c r="O42" i="3" s="1"/>
  <c r="AJ67" i="3" l="1"/>
  <c r="AI68" i="3"/>
  <c r="W40" i="3"/>
  <c r="X36" i="3" s="1"/>
  <c r="AK67" i="3" l="1"/>
  <c r="AJ68" i="3"/>
  <c r="X37" i="3"/>
  <c r="P47" i="3"/>
  <c r="P69" i="3" s="1"/>
  <c r="AL67" i="3" l="1"/>
  <c r="AK68" i="3"/>
  <c r="X40" i="3"/>
  <c r="Y36" i="3" s="1"/>
  <c r="P63" i="3"/>
  <c r="P42" i="3" s="1"/>
  <c r="P48" i="3"/>
  <c r="Q45" i="3"/>
  <c r="Q46" i="3" s="1"/>
  <c r="AM67" i="3" l="1"/>
  <c r="AL68" i="3"/>
  <c r="Y37" i="3"/>
  <c r="AN67" i="3" l="1"/>
  <c r="AM68" i="3"/>
  <c r="Y40" i="3"/>
  <c r="Z36" i="3" s="1"/>
  <c r="Q47" i="3"/>
  <c r="Q69" i="3" s="1"/>
  <c r="AO67" i="3" l="1"/>
  <c r="AN68" i="3"/>
  <c r="Z37" i="3"/>
  <c r="Q63" i="3"/>
  <c r="Q42" i="3" s="1"/>
  <c r="Q48" i="3"/>
  <c r="R45" i="3"/>
  <c r="R46" i="3" s="1"/>
  <c r="AO68" i="3" l="1"/>
  <c r="AP67" i="3"/>
  <c r="Z40" i="3"/>
  <c r="AA36" i="3" s="1"/>
  <c r="AP68" i="3" l="1"/>
  <c r="AQ67" i="3"/>
  <c r="AA37" i="3"/>
  <c r="R47" i="3"/>
  <c r="R69" i="3" s="1"/>
  <c r="AQ68" i="3" l="1"/>
  <c r="AR67" i="3"/>
  <c r="AA40" i="3"/>
  <c r="AB36" i="3" s="1"/>
  <c r="R63" i="3"/>
  <c r="R42" i="3" s="1"/>
  <c r="S45" i="3"/>
  <c r="S46" i="3" s="1"/>
  <c r="R48" i="3"/>
  <c r="AR68" i="3" l="1"/>
  <c r="AS67" i="3"/>
  <c r="AB37" i="3"/>
  <c r="AT67" i="3" l="1"/>
  <c r="AS68" i="3"/>
  <c r="AB40" i="3"/>
  <c r="AC36" i="3" s="1"/>
  <c r="S47" i="3"/>
  <c r="S69" i="3" s="1"/>
  <c r="AU67" i="3" l="1"/>
  <c r="AT68" i="3"/>
  <c r="AC37" i="3"/>
  <c r="S63" i="3"/>
  <c r="S42" i="3" s="1"/>
  <c r="S48" i="3"/>
  <c r="T45" i="3"/>
  <c r="T46" i="3" s="1"/>
  <c r="AV67" i="3" l="1"/>
  <c r="AU68" i="3"/>
  <c r="AC40" i="3"/>
  <c r="AD36" i="3" s="1"/>
  <c r="AW67" i="3" l="1"/>
  <c r="AV68" i="3"/>
  <c r="AD37" i="3"/>
  <c r="T47" i="3"/>
  <c r="T69" i="3" s="1"/>
  <c r="AX67" i="3" l="1"/>
  <c r="AW68" i="3"/>
  <c r="AD40" i="3"/>
  <c r="AE36" i="3" s="1"/>
  <c r="AE37" i="3" s="1"/>
  <c r="U45" i="3"/>
  <c r="U46" i="3" s="1"/>
  <c r="T63" i="3"/>
  <c r="T42" i="3" s="1"/>
  <c r="T48" i="3"/>
  <c r="AX68" i="3" l="1"/>
  <c r="AY67" i="3"/>
  <c r="AE40" i="3"/>
  <c r="AF36" i="3" s="1"/>
  <c r="AZ67" i="3" l="1"/>
  <c r="AY68" i="3"/>
  <c r="AF37" i="3"/>
  <c r="U47" i="3"/>
  <c r="U69" i="3" s="1"/>
  <c r="AZ68" i="3" l="1"/>
  <c r="BA67" i="3"/>
  <c r="AF40" i="3"/>
  <c r="AG36" i="3" s="1"/>
  <c r="AG37" i="3" s="1"/>
  <c r="AG40" i="3" s="1"/>
  <c r="AH36" i="3" s="1"/>
  <c r="U63" i="3"/>
  <c r="U42" i="3" s="1"/>
  <c r="U48" i="3"/>
  <c r="V45" i="3"/>
  <c r="V46" i="3" s="1"/>
  <c r="BB67" i="3" l="1"/>
  <c r="BA68" i="3"/>
  <c r="AH37" i="3"/>
  <c r="V47" i="3"/>
  <c r="V69" i="3" s="1"/>
  <c r="BC67" i="3" l="1"/>
  <c r="BB68" i="3"/>
  <c r="AH40" i="3"/>
  <c r="AI36" i="3" s="1"/>
  <c r="V63" i="3"/>
  <c r="V42" i="3" s="1"/>
  <c r="V48" i="3"/>
  <c r="W45" i="3"/>
  <c r="W46" i="3" s="1"/>
  <c r="BD67" i="3" l="1"/>
  <c r="BC68" i="3"/>
  <c r="AI37" i="3"/>
  <c r="BE67" i="3" l="1"/>
  <c r="BD68" i="3"/>
  <c r="AI40" i="3"/>
  <c r="AJ36" i="3" s="1"/>
  <c r="AJ37" i="3" s="1"/>
  <c r="W47" i="3"/>
  <c r="W69" i="3" s="1"/>
  <c r="BF67" i="3" l="1"/>
  <c r="BE68" i="3"/>
  <c r="AJ40" i="3"/>
  <c r="AK36" i="3" s="1"/>
  <c r="W63" i="3"/>
  <c r="W42" i="3" s="1"/>
  <c r="W48" i="3"/>
  <c r="X45" i="3"/>
  <c r="X46" i="3" s="1"/>
  <c r="BG67" i="3" l="1"/>
  <c r="BF68" i="3"/>
  <c r="AK37" i="3"/>
  <c r="AK40" i="3" s="1"/>
  <c r="AL36" i="3" s="1"/>
  <c r="BH67" i="3" l="1"/>
  <c r="BG68" i="3"/>
  <c r="AL37" i="3"/>
  <c r="X47" i="3"/>
  <c r="X69" i="3" s="1"/>
  <c r="BH68" i="3" l="1"/>
  <c r="BI67" i="3"/>
  <c r="AL40" i="3"/>
  <c r="AM36" i="3" s="1"/>
  <c r="AM37" i="3" s="1"/>
  <c r="X63" i="3"/>
  <c r="X42" i="3" s="1"/>
  <c r="Y45" i="3"/>
  <c r="Y46" i="3" s="1"/>
  <c r="X48" i="3"/>
  <c r="BJ67" i="3" l="1"/>
  <c r="BI68" i="3"/>
  <c r="AM40" i="3"/>
  <c r="AN36" i="3" s="1"/>
  <c r="BJ68" i="3" l="1"/>
  <c r="BK67" i="3"/>
  <c r="AN37" i="3"/>
  <c r="Y47" i="3"/>
  <c r="Y69" i="3" s="1"/>
  <c r="BK68" i="3" l="1"/>
  <c r="BL67" i="3"/>
  <c r="AN40" i="3"/>
  <c r="AO36" i="3" s="1"/>
  <c r="Y63" i="3"/>
  <c r="Y42" i="3" s="1"/>
  <c r="Y48" i="3"/>
  <c r="Z45" i="3"/>
  <c r="Z46" i="3" s="1"/>
  <c r="BM67" i="3" l="1"/>
  <c r="BL68" i="3"/>
  <c r="AO37" i="3"/>
  <c r="BM68" i="3" l="1"/>
  <c r="BN67" i="3"/>
  <c r="AO40" i="3"/>
  <c r="AP36" i="3" s="1"/>
  <c r="Z47" i="3"/>
  <c r="Z69" i="3" s="1"/>
  <c r="BO67" i="3" l="1"/>
  <c r="BN68" i="3"/>
  <c r="AP37" i="3"/>
  <c r="Z63" i="3"/>
  <c r="Z42" i="3" s="1"/>
  <c r="Z48" i="3"/>
  <c r="AA45" i="3"/>
  <c r="AA46" i="3" s="1"/>
  <c r="BP67" i="3" l="1"/>
  <c r="BO68" i="3"/>
  <c r="AP40" i="3"/>
  <c r="AQ36" i="3" s="1"/>
  <c r="BP68" i="3" l="1"/>
  <c r="BQ67" i="3"/>
  <c r="AQ37" i="3"/>
  <c r="AA47" i="3"/>
  <c r="AA69" i="3" s="1"/>
  <c r="BR67" i="3" l="1"/>
  <c r="BQ68" i="3"/>
  <c r="AQ40" i="3"/>
  <c r="AR36" i="3" s="1"/>
  <c r="AA63" i="3"/>
  <c r="AA42" i="3" s="1"/>
  <c r="AA48" i="3"/>
  <c r="AB45" i="3"/>
  <c r="AB46" i="3" s="1"/>
  <c r="BS67" i="3" l="1"/>
  <c r="BR68" i="3"/>
  <c r="AR37" i="3"/>
  <c r="BT67" i="3" l="1"/>
  <c r="BS68" i="3"/>
  <c r="AR40" i="3"/>
  <c r="AS36" i="3" s="1"/>
  <c r="AB47" i="3"/>
  <c r="AB69" i="3" s="1"/>
  <c r="BU67" i="3" l="1"/>
  <c r="BT68" i="3"/>
  <c r="AS37" i="3"/>
  <c r="AB48" i="3"/>
  <c r="AC45" i="3"/>
  <c r="AC46" i="3" s="1"/>
  <c r="AB63" i="3"/>
  <c r="AB42" i="3" s="1"/>
  <c r="BV67" i="3" l="1"/>
  <c r="BU68" i="3"/>
  <c r="AS40" i="3"/>
  <c r="AT36" i="3" s="1"/>
  <c r="BW67" i="3" l="1"/>
  <c r="BV68" i="3"/>
  <c r="AT37" i="3"/>
  <c r="AC47" i="3"/>
  <c r="AC69" i="3" s="1"/>
  <c r="BX67" i="3" l="1"/>
  <c r="BW68" i="3"/>
  <c r="AT40" i="3"/>
  <c r="AU36" i="3" s="1"/>
  <c r="AU37" i="3" s="1"/>
  <c r="AC48" i="3"/>
  <c r="AC63" i="3"/>
  <c r="AC42" i="3" s="1"/>
  <c r="AD45" i="3"/>
  <c r="AD46" i="3" s="1"/>
  <c r="BY67" i="3" l="1"/>
  <c r="BX68" i="3"/>
  <c r="AU40" i="3"/>
  <c r="AV36" i="3" s="1"/>
  <c r="BZ67" i="3" l="1"/>
  <c r="BY68" i="3"/>
  <c r="AV37" i="3"/>
  <c r="AD47" i="3"/>
  <c r="AD69" i="3" s="1"/>
  <c r="CA67" i="3" l="1"/>
  <c r="BZ68" i="3"/>
  <c r="AV40" i="3"/>
  <c r="AW36" i="3" s="1"/>
  <c r="AD48" i="3"/>
  <c r="AE45" i="3"/>
  <c r="AE46" i="3" s="1"/>
  <c r="AD63" i="3"/>
  <c r="AD42" i="3" s="1"/>
  <c r="CA68" i="3" l="1"/>
  <c r="CB67" i="3"/>
  <c r="AW37" i="3"/>
  <c r="CB68" i="3" l="1"/>
  <c r="CC67" i="3"/>
  <c r="AW40" i="3"/>
  <c r="AX36" i="3" s="1"/>
  <c r="AE47" i="3"/>
  <c r="AE69" i="3" s="1"/>
  <c r="CD67" i="3" l="1"/>
  <c r="CC68" i="3"/>
  <c r="AX37" i="3"/>
  <c r="AE63" i="3"/>
  <c r="AE42" i="3" s="1"/>
  <c r="AF45" i="3"/>
  <c r="AF46" i="3" s="1"/>
  <c r="AE48" i="3"/>
  <c r="CD68" i="3" l="1"/>
  <c r="CE67" i="3"/>
  <c r="AX40" i="3"/>
  <c r="AY36" i="3" s="1"/>
  <c r="AY37" i="3" s="1"/>
  <c r="CF67" i="3" l="1"/>
  <c r="CE68" i="3"/>
  <c r="AY40" i="3"/>
  <c r="AZ36" i="3" s="1"/>
  <c r="AF47" i="3"/>
  <c r="AF69" i="3" s="1"/>
  <c r="CG67" i="3" l="1"/>
  <c r="CF68" i="3"/>
  <c r="AZ37" i="3"/>
  <c r="AF63" i="3"/>
  <c r="AF42" i="3" s="1"/>
  <c r="AF48" i="3"/>
  <c r="AG45" i="3"/>
  <c r="AG46" i="3" s="1"/>
  <c r="CH67" i="3" l="1"/>
  <c r="CG68" i="3"/>
  <c r="AZ40" i="3"/>
  <c r="BA36" i="3" s="1"/>
  <c r="BA37" i="3" s="1"/>
  <c r="CI67" i="3" l="1"/>
  <c r="CH68" i="3"/>
  <c r="BA40" i="3"/>
  <c r="BB36" i="3" s="1"/>
  <c r="AG47" i="3"/>
  <c r="AG69" i="3" s="1"/>
  <c r="CJ67" i="3" l="1"/>
  <c r="CI68" i="3"/>
  <c r="BB37" i="3"/>
  <c r="AG63" i="3"/>
  <c r="AG42" i="3" s="1"/>
  <c r="AH45" i="3"/>
  <c r="AH46" i="3" s="1"/>
  <c r="AG48" i="3"/>
  <c r="CJ68" i="3" l="1"/>
  <c r="CK67" i="3"/>
  <c r="BB40" i="3"/>
  <c r="BC36" i="3" s="1"/>
  <c r="BC37" i="3" s="1"/>
  <c r="CL67" i="3" l="1"/>
  <c r="CK68" i="3"/>
  <c r="BC40" i="3"/>
  <c r="BD36" i="3" s="1"/>
  <c r="AH47" i="3"/>
  <c r="AH69" i="3" s="1"/>
  <c r="CM67" i="3" l="1"/>
  <c r="CL68" i="3"/>
  <c r="BD37" i="3"/>
  <c r="AH48" i="3"/>
  <c r="AI45" i="3"/>
  <c r="AI46" i="3" s="1"/>
  <c r="AH63" i="3"/>
  <c r="AH42" i="3" s="1"/>
  <c r="CM68" i="3" l="1"/>
  <c r="CN67" i="3"/>
  <c r="BD40" i="3"/>
  <c r="BE36" i="3" s="1"/>
  <c r="CO67" i="3" l="1"/>
  <c r="CN68" i="3"/>
  <c r="BE37" i="3"/>
  <c r="BE40" i="3" s="1"/>
  <c r="BF36" i="3" s="1"/>
  <c r="AI47" i="3"/>
  <c r="AI69" i="3" s="1"/>
  <c r="CP67" i="3" l="1"/>
  <c r="CO68" i="3"/>
  <c r="BF37" i="3"/>
  <c r="AI48" i="3"/>
  <c r="AI63" i="3"/>
  <c r="AI42" i="3" s="1"/>
  <c r="AJ45" i="3"/>
  <c r="AJ46" i="3" s="1"/>
  <c r="CP68" i="3" l="1"/>
  <c r="CQ67" i="3"/>
  <c r="BF40" i="3"/>
  <c r="BG36" i="3" s="1"/>
  <c r="CR67" i="3" l="1"/>
  <c r="CQ68" i="3"/>
  <c r="BG37" i="3"/>
  <c r="AJ47" i="3"/>
  <c r="AJ69" i="3" s="1"/>
  <c r="CS67" i="3" l="1"/>
  <c r="CR68" i="3"/>
  <c r="BG40" i="3"/>
  <c r="BH36" i="3" s="1"/>
  <c r="AJ63" i="3"/>
  <c r="AJ42" i="3" s="1"/>
  <c r="AK45" i="3"/>
  <c r="AK46" i="3" s="1"/>
  <c r="AJ48" i="3"/>
  <c r="CT67" i="3" l="1"/>
  <c r="CS68" i="3"/>
  <c r="BH37" i="3"/>
  <c r="CU67" i="3" l="1"/>
  <c r="CT68" i="3"/>
  <c r="BH40" i="3"/>
  <c r="BI36" i="3" s="1"/>
  <c r="BI37" i="3" s="1"/>
  <c r="AK47" i="3"/>
  <c r="AK69" i="3" s="1"/>
  <c r="CV67" i="3" l="1"/>
  <c r="CU68" i="3"/>
  <c r="BI40" i="3"/>
  <c r="BJ36" i="3" s="1"/>
  <c r="AK63" i="3"/>
  <c r="AK42" i="3" s="1"/>
  <c r="AL45" i="3"/>
  <c r="AL46" i="3" s="1"/>
  <c r="AK48" i="3"/>
  <c r="CV68" i="3" l="1"/>
  <c r="CW67" i="3"/>
  <c r="BJ37" i="3"/>
  <c r="CX67" i="3" l="1"/>
  <c r="CW68" i="3"/>
  <c r="BJ40" i="3"/>
  <c r="BK36" i="3" s="1"/>
  <c r="BK37" i="3" s="1"/>
  <c r="AL47" i="3"/>
  <c r="AL69" i="3" s="1"/>
  <c r="CY67" i="3" l="1"/>
  <c r="CX68" i="3"/>
  <c r="BK40" i="3"/>
  <c r="BL36" i="3" s="1"/>
  <c r="AL48" i="3"/>
  <c r="AM45" i="3"/>
  <c r="AM46" i="3" s="1"/>
  <c r="AL63" i="3"/>
  <c r="AL42" i="3" s="1"/>
  <c r="CZ67" i="3" l="1"/>
  <c r="CY68" i="3"/>
  <c r="BL37" i="3"/>
  <c r="CZ68" i="3" l="1"/>
  <c r="DA67" i="3"/>
  <c r="BL40" i="3"/>
  <c r="BM36" i="3" s="1"/>
  <c r="BM37" i="3" s="1"/>
  <c r="AM47" i="3"/>
  <c r="AM69" i="3" s="1"/>
  <c r="DA68" i="3" l="1"/>
  <c r="DB67" i="3"/>
  <c r="BM40" i="3"/>
  <c r="BN36" i="3" s="1"/>
  <c r="AM63" i="3"/>
  <c r="AM42" i="3" s="1"/>
  <c r="AM48" i="3"/>
  <c r="AN45" i="3"/>
  <c r="AN46" i="3" s="1"/>
  <c r="DC67" i="3" l="1"/>
  <c r="DB68" i="3"/>
  <c r="BN37" i="3"/>
  <c r="BN40" i="3" s="1"/>
  <c r="BO36" i="3" s="1"/>
  <c r="DC68" i="3" l="1"/>
  <c r="DD67" i="3"/>
  <c r="BO37" i="3"/>
  <c r="AN47" i="3"/>
  <c r="AN69" i="3" s="1"/>
  <c r="DE67" i="3" l="1"/>
  <c r="DD68" i="3"/>
  <c r="BO40" i="3"/>
  <c r="BP36" i="3" s="1"/>
  <c r="BP37" i="3" s="1"/>
  <c r="AN48" i="3"/>
  <c r="AO45" i="3"/>
  <c r="AO46" i="3" s="1"/>
  <c r="AN63" i="3"/>
  <c r="AN42" i="3" s="1"/>
  <c r="DF67" i="3" l="1"/>
  <c r="DE68" i="3"/>
  <c r="BP40" i="3"/>
  <c r="BQ36" i="3" s="1"/>
  <c r="DG67" i="3" l="1"/>
  <c r="DF68" i="3"/>
  <c r="BQ37" i="3"/>
  <c r="AO47" i="3"/>
  <c r="AO69" i="3" s="1"/>
  <c r="DG68" i="3" l="1"/>
  <c r="DH67" i="3"/>
  <c r="BQ40" i="3"/>
  <c r="BR36" i="3" s="1"/>
  <c r="AO48" i="3"/>
  <c r="AO63" i="3"/>
  <c r="AO42" i="3" s="1"/>
  <c r="AP45" i="3"/>
  <c r="AP46" i="3" s="1"/>
  <c r="DH68" i="3" l="1"/>
  <c r="DI67" i="3"/>
  <c r="BR37" i="3"/>
  <c r="DJ67" i="3" l="1"/>
  <c r="DI68" i="3"/>
  <c r="BR40" i="3"/>
  <c r="BS36" i="3" s="1"/>
  <c r="AP47" i="3"/>
  <c r="AP69" i="3" s="1"/>
  <c r="DK67" i="3" l="1"/>
  <c r="DJ68" i="3"/>
  <c r="BS37" i="3"/>
  <c r="AQ45" i="3"/>
  <c r="AQ46" i="3" s="1"/>
  <c r="AP48" i="3"/>
  <c r="AP63" i="3"/>
  <c r="AP42" i="3" s="1"/>
  <c r="DL67" i="3" l="1"/>
  <c r="DK68" i="3"/>
  <c r="BS40" i="3"/>
  <c r="BT36" i="3" s="1"/>
  <c r="BT37" i="3" s="1"/>
  <c r="DM67" i="3" l="1"/>
  <c r="DL68" i="3"/>
  <c r="BT40" i="3"/>
  <c r="BU36" i="3" s="1"/>
  <c r="BU37" i="3" s="1"/>
  <c r="AQ47" i="3"/>
  <c r="AQ69" i="3" s="1"/>
  <c r="DN67" i="3" l="1"/>
  <c r="DM68" i="3"/>
  <c r="BU40" i="3"/>
  <c r="BV36" i="3" s="1"/>
  <c r="AQ63" i="3"/>
  <c r="AQ42" i="3" s="1"/>
  <c r="AR45" i="3"/>
  <c r="AR46" i="3" s="1"/>
  <c r="AQ48" i="3"/>
  <c r="DN68" i="3" l="1"/>
  <c r="DO67" i="3"/>
  <c r="BV37" i="3"/>
  <c r="BV40" i="3" s="1"/>
  <c r="BW36" i="3" s="1"/>
  <c r="DP67" i="3" l="1"/>
  <c r="DO68" i="3"/>
  <c r="BW37" i="3"/>
  <c r="AR47" i="3"/>
  <c r="AR69" i="3" s="1"/>
  <c r="DQ67" i="3" l="1"/>
  <c r="DP68" i="3"/>
  <c r="BW40" i="3"/>
  <c r="BX36" i="3" s="1"/>
  <c r="AS45" i="3"/>
  <c r="AS46" i="3" s="1"/>
  <c r="AR48" i="3"/>
  <c r="AR63" i="3"/>
  <c r="AR42" i="3" s="1"/>
  <c r="DR67" i="3" l="1"/>
  <c r="DQ68" i="3"/>
  <c r="BX37" i="3"/>
  <c r="DS67" i="3" l="1"/>
  <c r="DR68" i="3"/>
  <c r="BX40" i="3"/>
  <c r="BY36" i="3" s="1"/>
  <c r="BY37" i="3" s="1"/>
  <c r="AS47" i="3"/>
  <c r="AS69" i="3" s="1"/>
  <c r="DT67" i="3" l="1"/>
  <c r="DS68" i="3"/>
  <c r="BY40" i="3"/>
  <c r="BZ36" i="3" s="1"/>
  <c r="BZ37" i="3" s="1"/>
  <c r="AT45" i="3"/>
  <c r="AT46" i="3" s="1"/>
  <c r="AS63" i="3"/>
  <c r="AS42" i="3" s="1"/>
  <c r="AS48" i="3"/>
  <c r="DU67" i="3" l="1"/>
  <c r="DT68" i="3"/>
  <c r="BZ40" i="3"/>
  <c r="CA36" i="3" s="1"/>
  <c r="CA37" i="3" s="1"/>
  <c r="DV67" i="3" l="1"/>
  <c r="DU68" i="3"/>
  <c r="CA40" i="3"/>
  <c r="CB36" i="3" s="1"/>
  <c r="CB37" i="3" s="1"/>
  <c r="AT47" i="3"/>
  <c r="AT69" i="3" s="1"/>
  <c r="DW67" i="3" l="1"/>
  <c r="DV68" i="3"/>
  <c r="CB40" i="3"/>
  <c r="CC36" i="3" s="1"/>
  <c r="AT63" i="3"/>
  <c r="AT42" i="3" s="1"/>
  <c r="AT48" i="3"/>
  <c r="AU45" i="3"/>
  <c r="AU46" i="3" s="1"/>
  <c r="DX67" i="3" l="1"/>
  <c r="DW68" i="3"/>
  <c r="CC37" i="3"/>
  <c r="DY67" i="3" l="1"/>
  <c r="DX68" i="3"/>
  <c r="CC40" i="3"/>
  <c r="CD36" i="3" s="1"/>
  <c r="AU47" i="3"/>
  <c r="AU69" i="3" s="1"/>
  <c r="DZ67" i="3" l="1"/>
  <c r="DY68" i="3"/>
  <c r="CD37" i="3"/>
  <c r="AU48" i="3"/>
  <c r="AV45" i="3"/>
  <c r="AV46" i="3" s="1"/>
  <c r="AU63" i="3"/>
  <c r="AU42" i="3" s="1"/>
  <c r="EA67" i="3" l="1"/>
  <c r="DZ68" i="3"/>
  <c r="CD40" i="3"/>
  <c r="CE36" i="3" s="1"/>
  <c r="EB67" i="3" l="1"/>
  <c r="EA68" i="3"/>
  <c r="CE37" i="3"/>
  <c r="CE38" i="3" s="1"/>
  <c r="AV47" i="3"/>
  <c r="AV69" i="3" s="1"/>
  <c r="EC67" i="3" l="1"/>
  <c r="EB68" i="3"/>
  <c r="CE40" i="3"/>
  <c r="CF36" i="3" s="1"/>
  <c r="AV63" i="3"/>
  <c r="AV42" i="3" s="1"/>
  <c r="AW45" i="3"/>
  <c r="AW46" i="3" s="1"/>
  <c r="AV48" i="3"/>
  <c r="ED67" i="3" l="1"/>
  <c r="EC68" i="3"/>
  <c r="CF37" i="3"/>
  <c r="EE67" i="3" l="1"/>
  <c r="ED68" i="3"/>
  <c r="CF40" i="3"/>
  <c r="CG36" i="3" s="1"/>
  <c r="AW47" i="3"/>
  <c r="AW69" i="3" s="1"/>
  <c r="EF67" i="3" l="1"/>
  <c r="EE68" i="3"/>
  <c r="CG37" i="3"/>
  <c r="AW48" i="3"/>
  <c r="AW63" i="3"/>
  <c r="AW42" i="3" s="1"/>
  <c r="AX45" i="3"/>
  <c r="AX46" i="3" s="1"/>
  <c r="EG67" i="3" l="1"/>
  <c r="EF68" i="3"/>
  <c r="CG40" i="3"/>
  <c r="CH36" i="3" s="1"/>
  <c r="EH67" i="3" l="1"/>
  <c r="EG68" i="3"/>
  <c r="CH37" i="3"/>
  <c r="AX47" i="3"/>
  <c r="AX69" i="3" s="1"/>
  <c r="EI67" i="3" l="1"/>
  <c r="EH68" i="3"/>
  <c r="CH40" i="3"/>
  <c r="CI36" i="3" s="1"/>
  <c r="AX63" i="3"/>
  <c r="AX42" i="3" s="1"/>
  <c r="AY45" i="3"/>
  <c r="AY46" i="3" s="1"/>
  <c r="AX48" i="3"/>
  <c r="EJ67" i="3" l="1"/>
  <c r="EI68" i="3"/>
  <c r="CI37" i="3"/>
  <c r="EJ68" i="3" l="1"/>
  <c r="EK67" i="3"/>
  <c r="CI40" i="3"/>
  <c r="CJ36" i="3" s="1"/>
  <c r="AY47" i="3"/>
  <c r="AY69" i="3" s="1"/>
  <c r="EK68" i="3" l="1"/>
  <c r="EL67" i="3"/>
  <c r="CJ37" i="3"/>
  <c r="CJ40" i="3" s="1"/>
  <c r="CK36" i="3" s="1"/>
  <c r="AY63" i="3"/>
  <c r="AY42" i="3" s="1"/>
  <c r="AY48" i="3"/>
  <c r="AZ45" i="3"/>
  <c r="AZ46" i="3" s="1"/>
  <c r="EM67" i="3" l="1"/>
  <c r="EL68" i="3"/>
  <c r="CK37" i="3"/>
  <c r="EN67" i="3" l="1"/>
  <c r="EM68" i="3"/>
  <c r="CK40" i="3"/>
  <c r="CL36" i="3" s="1"/>
  <c r="CL37" i="3" s="1"/>
  <c r="AZ47" i="3"/>
  <c r="AZ69" i="3" s="1"/>
  <c r="EO67" i="3" l="1"/>
  <c r="EN68" i="3"/>
  <c r="CL40" i="3"/>
  <c r="CM36" i="3" s="1"/>
  <c r="AZ63" i="3"/>
  <c r="AZ42" i="3" s="1"/>
  <c r="AZ48" i="3"/>
  <c r="BA45" i="3"/>
  <c r="BA46" i="3" s="1"/>
  <c r="EP67" i="3" l="1"/>
  <c r="EO68" i="3"/>
  <c r="CM37" i="3"/>
  <c r="EP68" i="3" l="1"/>
  <c r="EQ67" i="3"/>
  <c r="CM40" i="3"/>
  <c r="CN36" i="3" s="1"/>
  <c r="CN37" i="3" s="1"/>
  <c r="BA47" i="3"/>
  <c r="BA69" i="3" s="1"/>
  <c r="ER67" i="3" l="1"/>
  <c r="EQ68" i="3"/>
  <c r="CN40" i="3"/>
  <c r="CO36" i="3" s="1"/>
  <c r="BA63" i="3"/>
  <c r="BA42" i="3" s="1"/>
  <c r="BB45" i="3"/>
  <c r="BB46" i="3" s="1"/>
  <c r="BA48" i="3"/>
  <c r="ER68" i="3" l="1"/>
  <c r="ES67" i="3"/>
  <c r="CO37" i="3"/>
  <c r="ET67" i="3" l="1"/>
  <c r="ES68" i="3"/>
  <c r="CO40" i="3"/>
  <c r="CP36" i="3" s="1"/>
  <c r="BB47" i="3"/>
  <c r="BB69" i="3" s="1"/>
  <c r="ET68" i="3" l="1"/>
  <c r="EU67" i="3"/>
  <c r="CP37" i="3"/>
  <c r="BB63" i="3"/>
  <c r="BB42" i="3" s="1"/>
  <c r="BB48" i="3"/>
  <c r="BC45" i="3"/>
  <c r="BC46" i="3" s="1"/>
  <c r="EU68" i="3" l="1"/>
  <c r="EV67" i="3"/>
  <c r="CP40" i="3"/>
  <c r="CQ36" i="3" s="1"/>
  <c r="EV68" i="3" l="1"/>
  <c r="EW67" i="3"/>
  <c r="CQ37" i="3"/>
  <c r="CQ38" i="3" s="1"/>
  <c r="BC47" i="3"/>
  <c r="BC69" i="3" s="1"/>
  <c r="EW68" i="3" l="1"/>
  <c r="EX67" i="3"/>
  <c r="CQ40" i="3"/>
  <c r="CR36" i="3" s="1"/>
  <c r="CR37" i="3" s="1"/>
  <c r="BD45" i="3"/>
  <c r="BD46" i="3" s="1"/>
  <c r="BC63" i="3"/>
  <c r="BC42" i="3" s="1"/>
  <c r="BC48" i="3"/>
  <c r="EY67" i="3" l="1"/>
  <c r="EX68" i="3"/>
  <c r="CR40" i="3"/>
  <c r="CS36" i="3" s="1"/>
  <c r="EZ67" i="3" l="1"/>
  <c r="EY68" i="3"/>
  <c r="CS37" i="3"/>
  <c r="BD47" i="3"/>
  <c r="BD69" i="3" s="1"/>
  <c r="FA67" i="3" l="1"/>
  <c r="EZ68" i="3"/>
  <c r="CS40" i="3"/>
  <c r="CT36" i="3" s="1"/>
  <c r="BE45" i="3"/>
  <c r="BE46" i="3" s="1"/>
  <c r="BD48" i="3"/>
  <c r="BD63" i="3"/>
  <c r="BD42" i="3" s="1"/>
  <c r="FA68" i="3" l="1"/>
  <c r="FB67" i="3"/>
  <c r="CT37" i="3"/>
  <c r="CT40" i="3" s="1"/>
  <c r="CU36" i="3" s="1"/>
  <c r="FC67" i="3" l="1"/>
  <c r="FB68" i="3"/>
  <c r="CU37" i="3"/>
  <c r="BE47" i="3"/>
  <c r="BE69" i="3" s="1"/>
  <c r="FD67" i="3" l="1"/>
  <c r="FC68" i="3"/>
  <c r="CU40" i="3"/>
  <c r="CV36" i="3" s="1"/>
  <c r="BE63" i="3"/>
  <c r="BE42" i="3" s="1"/>
  <c r="BF45" i="3"/>
  <c r="BF46" i="3" s="1"/>
  <c r="BE48" i="3"/>
  <c r="FE67" i="3" l="1"/>
  <c r="FD68" i="3"/>
  <c r="CV37" i="3"/>
  <c r="FF67" i="3" l="1"/>
  <c r="FE68" i="3"/>
  <c r="CV40" i="3"/>
  <c r="CW36" i="3" s="1"/>
  <c r="CW37" i="3" s="1"/>
  <c r="BF47" i="3"/>
  <c r="BF69" i="3" s="1"/>
  <c r="FG67" i="3" l="1"/>
  <c r="FF68" i="3"/>
  <c r="CW40" i="3"/>
  <c r="CX36" i="3" s="1"/>
  <c r="CX37" i="3" s="1"/>
  <c r="BG45" i="3"/>
  <c r="BG46" i="3" s="1"/>
  <c r="BF63" i="3"/>
  <c r="BF42" i="3" s="1"/>
  <c r="BF48" i="3"/>
  <c r="FH67" i="3" l="1"/>
  <c r="FG68" i="3"/>
  <c r="CX40" i="3"/>
  <c r="CY36" i="3" s="1"/>
  <c r="FI67" i="3" l="1"/>
  <c r="FH68" i="3"/>
  <c r="CY37" i="3"/>
  <c r="BG47" i="3"/>
  <c r="BG69" i="3" s="1"/>
  <c r="FJ67" i="3" l="1"/>
  <c r="FI68" i="3"/>
  <c r="CY40" i="3"/>
  <c r="CZ36" i="3" s="1"/>
  <c r="CZ37" i="3" s="1"/>
  <c r="BG63" i="3"/>
  <c r="BG42" i="3" s="1"/>
  <c r="BG48" i="3"/>
  <c r="BH45" i="3"/>
  <c r="BH46" i="3" s="1"/>
  <c r="FK67" i="3" l="1"/>
  <c r="FK68" i="3" s="1"/>
  <c r="FJ68" i="3"/>
  <c r="CZ40" i="3"/>
  <c r="DA36" i="3" s="1"/>
  <c r="DA37" i="3" l="1"/>
  <c r="BH47" i="3"/>
  <c r="BH69" i="3" s="1"/>
  <c r="DA40" i="3" l="1"/>
  <c r="DB36" i="3" s="1"/>
  <c r="BH63" i="3"/>
  <c r="BH42" i="3" s="1"/>
  <c r="BI45" i="3"/>
  <c r="BI46" i="3" s="1"/>
  <c r="BH48" i="3"/>
  <c r="DB37" i="3" l="1"/>
  <c r="BI47" i="3"/>
  <c r="BI69" i="3" s="1"/>
  <c r="DB40" i="3" l="1"/>
  <c r="DC36" i="3" s="1"/>
  <c r="DC37" i="3" s="1"/>
  <c r="BI48" i="3"/>
  <c r="BJ45" i="3"/>
  <c r="BJ46" i="3" s="1"/>
  <c r="BI63" i="3"/>
  <c r="BI42" i="3" s="1"/>
  <c r="DC40" i="3" l="1"/>
  <c r="DD36" i="3" s="1"/>
  <c r="DD37" i="3" s="1"/>
  <c r="DD40" i="3" l="1"/>
  <c r="DE36" i="3" s="1"/>
  <c r="DE37" i="3" s="1"/>
  <c r="BJ47" i="3"/>
  <c r="BJ69" i="3" s="1"/>
  <c r="DE40" i="3" l="1"/>
  <c r="DF36" i="3" s="1"/>
  <c r="BK45" i="3"/>
  <c r="BK46" i="3" s="1"/>
  <c r="BJ48" i="3"/>
  <c r="BJ63" i="3"/>
  <c r="BJ42" i="3" s="1"/>
  <c r="DF37" i="3" l="1"/>
  <c r="DF40" i="3" l="1"/>
  <c r="DG36" i="3" s="1"/>
  <c r="BK47" i="3"/>
  <c r="BK69" i="3" s="1"/>
  <c r="DG37" i="3" l="1"/>
  <c r="BK63" i="3"/>
  <c r="BK42" i="3" s="1"/>
  <c r="BL45" i="3"/>
  <c r="BL46" i="3" s="1"/>
  <c r="BK48" i="3"/>
  <c r="DG40" i="3" l="1"/>
  <c r="DH36" i="3" s="1"/>
  <c r="DH37" i="3" l="1"/>
  <c r="BL47" i="3"/>
  <c r="BL69" i="3" s="1"/>
  <c r="DH40" i="3" l="1"/>
  <c r="DI36" i="3" s="1"/>
  <c r="BM45" i="3"/>
  <c r="BM46" i="3" s="1"/>
  <c r="BL48" i="3"/>
  <c r="BL63" i="3"/>
  <c r="BL42" i="3" s="1"/>
  <c r="DI37" i="3" l="1"/>
  <c r="DI40" i="3" l="1"/>
  <c r="DJ36" i="3" s="1"/>
  <c r="DJ37" i="3" s="1"/>
  <c r="BM47" i="3"/>
  <c r="BM69" i="3" s="1"/>
  <c r="DJ40" i="3" l="1"/>
  <c r="DK36" i="3" s="1"/>
  <c r="DK37" i="3" s="1"/>
  <c r="BM63" i="3"/>
  <c r="BM42" i="3" s="1"/>
  <c r="BM48" i="3"/>
  <c r="BN45" i="3"/>
  <c r="BN46" i="3" s="1"/>
  <c r="DK40" i="3" l="1"/>
  <c r="DL36" i="3" s="1"/>
  <c r="DL37" i="3" s="1"/>
  <c r="DL40" i="3" l="1"/>
  <c r="DM36" i="3" s="1"/>
  <c r="BN47" i="3"/>
  <c r="BN69" i="3" s="1"/>
  <c r="DM37" i="3" l="1"/>
  <c r="BN63" i="3"/>
  <c r="BN42" i="3" s="1"/>
  <c r="BO45" i="3"/>
  <c r="BO46" i="3" s="1"/>
  <c r="BN48" i="3"/>
  <c r="DM40" i="3" l="1"/>
  <c r="DN36" i="3" s="1"/>
  <c r="DN37" i="3" l="1"/>
  <c r="BO47" i="3"/>
  <c r="BO69" i="3" s="1"/>
  <c r="DN40" i="3" l="1"/>
  <c r="DO36" i="3" s="1"/>
  <c r="BO48" i="3"/>
  <c r="BO63" i="3"/>
  <c r="BO42" i="3" s="1"/>
  <c r="BP45" i="3"/>
  <c r="BP46" i="3" s="1"/>
  <c r="DO37" i="3" l="1"/>
  <c r="DO40" i="3" l="1"/>
  <c r="DP36" i="3" s="1"/>
  <c r="BP47" i="3"/>
  <c r="BP69" i="3" s="1"/>
  <c r="DP37" i="3" l="1"/>
  <c r="BP63" i="3"/>
  <c r="BP42" i="3" s="1"/>
  <c r="BQ45" i="3"/>
  <c r="BQ46" i="3" s="1"/>
  <c r="BP48" i="3"/>
  <c r="DP40" i="3" l="1"/>
  <c r="DQ36" i="3" s="1"/>
  <c r="DQ37" i="3" l="1"/>
  <c r="BQ47" i="3"/>
  <c r="BQ69" i="3" s="1"/>
  <c r="DQ40" i="3" l="1"/>
  <c r="DR36" i="3" s="1"/>
  <c r="DR37" i="3" s="1"/>
  <c r="BQ63" i="3"/>
  <c r="BQ42" i="3" s="1"/>
  <c r="BR45" i="3"/>
  <c r="BR46" i="3" s="1"/>
  <c r="BQ48" i="3"/>
  <c r="DR40" i="3" l="1"/>
  <c r="DS36" i="3" s="1"/>
  <c r="DS37" i="3" l="1"/>
  <c r="BR47" i="3"/>
  <c r="BR69" i="3" s="1"/>
  <c r="DS40" i="3" l="1"/>
  <c r="DT36" i="3" s="1"/>
  <c r="BR63" i="3"/>
  <c r="BR42" i="3" s="1"/>
  <c r="BS45" i="3"/>
  <c r="BS46" i="3" s="1"/>
  <c r="BR48" i="3"/>
  <c r="DT37" i="3" l="1"/>
  <c r="BS47" i="3"/>
  <c r="BS69" i="3" s="1"/>
  <c r="DT40" i="3" l="1"/>
  <c r="DU36" i="3" s="1"/>
  <c r="BS63" i="3"/>
  <c r="BS42" i="3" s="1"/>
  <c r="BT45" i="3"/>
  <c r="BT46" i="3" s="1"/>
  <c r="BS48" i="3"/>
  <c r="DU37" i="3" l="1"/>
  <c r="DU40" i="3" l="1"/>
  <c r="DV36" i="3" s="1"/>
  <c r="DV37" i="3" s="1"/>
  <c r="DV40" i="3" s="1"/>
  <c r="DW36" i="3" s="1"/>
  <c r="DW37" i="3" s="1"/>
  <c r="DW40" i="3" s="1"/>
  <c r="DX36" i="3" s="1"/>
  <c r="BT47" i="3"/>
  <c r="BT69" i="3" s="1"/>
  <c r="DX37" i="3" l="1"/>
  <c r="BT63" i="3"/>
  <c r="BT42" i="3" s="1"/>
  <c r="BU45" i="3"/>
  <c r="BU46" i="3" s="1"/>
  <c r="BT48" i="3"/>
  <c r="DX40" i="3" l="1"/>
  <c r="DY36" i="3" s="1"/>
  <c r="DY37" i="3" s="1"/>
  <c r="DY40" i="3" l="1"/>
  <c r="DZ36" i="3" s="1"/>
  <c r="DZ37" i="3" s="1"/>
  <c r="BU47" i="3"/>
  <c r="BU69" i="3" s="1"/>
  <c r="DZ40" i="3" l="1"/>
  <c r="EA36" i="3" s="1"/>
  <c r="BU63" i="3"/>
  <c r="BU42" i="3" s="1"/>
  <c r="BV45" i="3"/>
  <c r="BV46" i="3" s="1"/>
  <c r="BU48" i="3"/>
  <c r="EA37" i="3" l="1"/>
  <c r="EA40" i="3" l="1"/>
  <c r="EB36" i="3" s="1"/>
  <c r="EB37" i="3" s="1"/>
  <c r="EB40" i="3" s="1"/>
  <c r="EC36" i="3" s="1"/>
  <c r="EC37" i="3" s="1"/>
  <c r="BV47" i="3"/>
  <c r="BV69" i="3" s="1"/>
  <c r="EC40" i="3" l="1"/>
  <c r="ED36" i="3" s="1"/>
  <c r="BW45" i="3"/>
  <c r="BW46" i="3" s="1"/>
  <c r="BV63" i="3"/>
  <c r="BV42" i="3" s="1"/>
  <c r="BV48" i="3"/>
  <c r="ED37" i="3" l="1"/>
  <c r="ED40" i="3" l="1"/>
  <c r="EE36" i="3" s="1"/>
  <c r="BW47" i="3"/>
  <c r="BW69" i="3" s="1"/>
  <c r="EE37" i="3" l="1"/>
  <c r="BW63" i="3"/>
  <c r="BW42" i="3" s="1"/>
  <c r="BX45" i="3"/>
  <c r="BX46" i="3" s="1"/>
  <c r="BW48" i="3"/>
  <c r="EE40" i="3" l="1"/>
  <c r="EF36" i="3" s="1"/>
  <c r="EF37" i="3" l="1"/>
  <c r="BX47" i="3"/>
  <c r="BX69" i="3" s="1"/>
  <c r="EF40" i="3" l="1"/>
  <c r="EG36" i="3" s="1"/>
  <c r="BY45" i="3"/>
  <c r="BY46" i="3" s="1"/>
  <c r="BX48" i="3"/>
  <c r="BX63" i="3"/>
  <c r="BX42" i="3" s="1"/>
  <c r="EG37" i="3" l="1"/>
  <c r="EG40" i="3" l="1"/>
  <c r="EH36" i="3" s="1"/>
  <c r="EH37" i="3" s="1"/>
  <c r="EH40" i="3" s="1"/>
  <c r="EI36" i="3" s="1"/>
  <c r="BY47" i="3"/>
  <c r="BY69" i="3" s="1"/>
  <c r="EI37" i="3" l="1"/>
  <c r="BY63" i="3"/>
  <c r="BY42" i="3" s="1"/>
  <c r="BZ45" i="3"/>
  <c r="BZ46" i="3" s="1"/>
  <c r="BY48" i="3"/>
  <c r="EI40" i="3" l="1"/>
  <c r="EJ36" i="3" s="1"/>
  <c r="EJ37" i="3" l="1"/>
  <c r="BZ47" i="3"/>
  <c r="BZ69" i="3" s="1"/>
  <c r="EJ40" i="3" l="1"/>
  <c r="EK36" i="3" s="1"/>
  <c r="BZ63" i="3"/>
  <c r="BZ42" i="3" s="1"/>
  <c r="CA45" i="3"/>
  <c r="CA46" i="3" s="1"/>
  <c r="BZ48" i="3"/>
  <c r="EK37" i="3" l="1"/>
  <c r="EK40" i="3" l="1"/>
  <c r="EL36" i="3" s="1"/>
  <c r="CA47" i="3"/>
  <c r="CA69" i="3" s="1"/>
  <c r="EL37" i="3" l="1"/>
  <c r="CB45" i="3"/>
  <c r="CB46" i="3" s="1"/>
  <c r="CA48" i="3"/>
  <c r="CA63" i="3"/>
  <c r="CA42" i="3" s="1"/>
  <c r="EL40" i="3" l="1"/>
  <c r="EM36" i="3" s="1"/>
  <c r="EM37" i="3" l="1"/>
  <c r="CB47" i="3"/>
  <c r="CB69" i="3" s="1"/>
  <c r="EM40" i="3" l="1"/>
  <c r="EN36" i="3" s="1"/>
  <c r="CB63" i="3"/>
  <c r="CB42" i="3" s="1"/>
  <c r="CB48" i="3"/>
  <c r="CC45" i="3"/>
  <c r="CC46" i="3" s="1"/>
  <c r="EN37" i="3" l="1"/>
  <c r="EN40" i="3" l="1"/>
  <c r="EO36" i="3" s="1"/>
  <c r="CC47" i="3"/>
  <c r="CC69" i="3" s="1"/>
  <c r="EO37" i="3" l="1"/>
  <c r="CC63" i="3"/>
  <c r="CC42" i="3" s="1"/>
  <c r="CC48" i="3"/>
  <c r="CD45" i="3"/>
  <c r="CD46" i="3" s="1"/>
  <c r="EO40" i="3" l="1"/>
  <c r="EP36" i="3" s="1"/>
  <c r="EP37" i="3" l="1"/>
  <c r="CD47" i="3"/>
  <c r="CD69" i="3" s="1"/>
  <c r="EP40" i="3" l="1"/>
  <c r="EQ36" i="3" s="1"/>
  <c r="EQ37" i="3" s="1"/>
  <c r="CD63" i="3"/>
  <c r="CD42" i="3" s="1"/>
  <c r="CD48" i="3"/>
  <c r="CE45" i="3"/>
  <c r="CE46" i="3" s="1"/>
  <c r="EQ40" i="3" l="1"/>
  <c r="ER36" i="3" s="1"/>
  <c r="ER37" i="3" s="1"/>
  <c r="ER40" i="3" l="1"/>
  <c r="ES36" i="3" s="1"/>
  <c r="ES37" i="3" s="1"/>
  <c r="CE47" i="3"/>
  <c r="CE69" i="3" s="1"/>
  <c r="ES40" i="3" l="1"/>
  <c r="ET36" i="3" s="1"/>
  <c r="ET37" i="3" s="1"/>
  <c r="CE63" i="3"/>
  <c r="CE42" i="3" s="1"/>
  <c r="CE48" i="3"/>
  <c r="CF45" i="3"/>
  <c r="CF46" i="3" s="1"/>
  <c r="ET40" i="3" l="1"/>
  <c r="EU36" i="3" s="1"/>
  <c r="EU37" i="3" l="1"/>
  <c r="CF47" i="3"/>
  <c r="CF69" i="3" s="1"/>
  <c r="EU40" i="3" l="1"/>
  <c r="EV36" i="3" s="1"/>
  <c r="EV37" i="3" s="1"/>
  <c r="EV40" i="3" s="1"/>
  <c r="EW36" i="3" s="1"/>
  <c r="EW37" i="3" s="1"/>
  <c r="CF63" i="3"/>
  <c r="CF42" i="3" s="1"/>
  <c r="CG45" i="3"/>
  <c r="CG46" i="3" s="1"/>
  <c r="CF48" i="3"/>
  <c r="EW40" i="3" l="1"/>
  <c r="EX36" i="3" s="1"/>
  <c r="EX37" i="3" s="1"/>
  <c r="EX40" i="3" s="1"/>
  <c r="EY36" i="3" s="1"/>
  <c r="EY37" i="3" s="1"/>
  <c r="EY40" i="3" l="1"/>
  <c r="EZ36" i="3" s="1"/>
  <c r="CG47" i="3"/>
  <c r="CG69" i="3" s="1"/>
  <c r="EZ37" i="3" l="1"/>
  <c r="CG63" i="3"/>
  <c r="CG42" i="3" s="1"/>
  <c r="CH45" i="3"/>
  <c r="CH46" i="3" s="1"/>
  <c r="CG48" i="3"/>
  <c r="EZ40" i="3" l="1"/>
  <c r="FA36" i="3" s="1"/>
  <c r="FA37" i="3" s="1"/>
  <c r="FA40" i="3" s="1"/>
  <c r="FB36" i="3" s="1"/>
  <c r="FB37" i="3" s="1"/>
  <c r="FB40" i="3" l="1"/>
  <c r="FC36" i="3" s="1"/>
  <c r="FC37" i="3" s="1"/>
  <c r="CH47" i="3"/>
  <c r="CH69" i="3" s="1"/>
  <c r="FC40" i="3" l="1"/>
  <c r="FD36" i="3" s="1"/>
  <c r="FD37" i="3" s="1"/>
  <c r="FD40" i="3" s="1"/>
  <c r="FE36" i="3" s="1"/>
  <c r="FE37" i="3" s="1"/>
  <c r="CH48" i="3"/>
  <c r="CI45" i="3"/>
  <c r="CI46" i="3" s="1"/>
  <c r="CH63" i="3"/>
  <c r="CH42" i="3" s="1"/>
  <c r="FE40" i="3" l="1"/>
  <c r="FF36" i="3" s="1"/>
  <c r="FF37" i="3" l="1"/>
  <c r="CI47" i="3"/>
  <c r="CI69" i="3" s="1"/>
  <c r="FF40" i="3" l="1"/>
  <c r="FG36" i="3" s="1"/>
  <c r="CI63" i="3"/>
  <c r="CI42" i="3" s="1"/>
  <c r="CI48" i="3"/>
  <c r="CJ45" i="3"/>
  <c r="CJ46" i="3" s="1"/>
  <c r="FG37" i="3" l="1"/>
  <c r="CJ47" i="3"/>
  <c r="CJ69" i="3" s="1"/>
  <c r="FG40" i="3" l="1"/>
  <c r="FH36" i="3" s="1"/>
  <c r="FH37" i="3" s="1"/>
  <c r="CJ63" i="3"/>
  <c r="CJ42" i="3" s="1"/>
  <c r="CJ48" i="3"/>
  <c r="CK45" i="3"/>
  <c r="CK46" i="3" s="1"/>
  <c r="FH40" i="3" l="1"/>
  <c r="FI36" i="3" s="1"/>
  <c r="CK47" i="3"/>
  <c r="CK69" i="3" s="1"/>
  <c r="FI37" i="3" l="1"/>
  <c r="CK63" i="3"/>
  <c r="CK42" i="3" s="1"/>
  <c r="CL45" i="3"/>
  <c r="CL46" i="3" s="1"/>
  <c r="CK48" i="3"/>
  <c r="FI40" i="3" l="1"/>
  <c r="FJ36" i="3" s="1"/>
  <c r="CL47" i="3"/>
  <c r="CL69" i="3" s="1"/>
  <c r="FJ37" i="3" l="1"/>
  <c r="CL48" i="3"/>
  <c r="CM45" i="3"/>
  <c r="CM46" i="3" s="1"/>
  <c r="CL63" i="3"/>
  <c r="CL42" i="3" s="1"/>
  <c r="FJ40" i="3" l="1"/>
  <c r="FK36" i="3" s="1"/>
  <c r="CM47" i="3"/>
  <c r="CM69" i="3" s="1"/>
  <c r="FK37" i="3" l="1"/>
  <c r="CM63" i="3"/>
  <c r="CM42" i="3" s="1"/>
  <c r="CM48" i="3"/>
  <c r="CN45" i="3"/>
  <c r="CN46" i="3" s="1"/>
  <c r="FK40" i="3" l="1"/>
  <c r="CN47" i="3"/>
  <c r="CN69" i="3" s="1"/>
  <c r="CN48" i="3" l="1"/>
  <c r="CN63" i="3"/>
  <c r="CN42" i="3" s="1"/>
  <c r="CO45" i="3"/>
  <c r="CO46" i="3" s="1"/>
  <c r="CO47" i="3" l="1"/>
  <c r="CO69" i="3" s="1"/>
  <c r="CO63" i="3" l="1"/>
  <c r="CO42" i="3" s="1"/>
  <c r="CO48" i="3"/>
  <c r="CP45" i="3"/>
  <c r="CP46" i="3" s="1"/>
  <c r="CP47" i="3" l="1"/>
  <c r="CP69" i="3" s="1"/>
  <c r="CP63" i="3" l="1"/>
  <c r="CP42" i="3" s="1"/>
  <c r="CP48" i="3"/>
  <c r="CQ45" i="3"/>
  <c r="CQ46" i="3" s="1"/>
  <c r="CQ47" i="3" l="1"/>
  <c r="CQ69" i="3" s="1"/>
  <c r="CQ63" i="3" l="1"/>
  <c r="CQ42" i="3" s="1"/>
  <c r="CQ48" i="3"/>
  <c r="CR45" i="3"/>
  <c r="CR46" i="3" s="1"/>
  <c r="CR47" i="3" l="1"/>
  <c r="CR69" i="3" s="1"/>
  <c r="CR48" i="3" l="1"/>
  <c r="CR63" i="3"/>
  <c r="CR42" i="3" s="1"/>
  <c r="CS45" i="3"/>
  <c r="CS46" i="3" s="1"/>
  <c r="CS47" i="3" l="1"/>
  <c r="CS69" i="3" s="1"/>
  <c r="CS48" i="3" l="1"/>
  <c r="CS63" i="3"/>
  <c r="CS42" i="3" s="1"/>
  <c r="CT45" i="3"/>
  <c r="CT46" i="3" s="1"/>
  <c r="CT47" i="3" l="1"/>
  <c r="CT69" i="3" s="1"/>
  <c r="CT48" i="3" l="1"/>
  <c r="CT63" i="3"/>
  <c r="CT42" i="3" s="1"/>
  <c r="CU45" i="3"/>
  <c r="CU46" i="3" s="1"/>
  <c r="CU47" i="3" l="1"/>
  <c r="CU69" i="3" s="1"/>
  <c r="CU48" i="3" l="1"/>
  <c r="CV45" i="3"/>
  <c r="CV46" i="3" s="1"/>
  <c r="CU63" i="3"/>
  <c r="CU42" i="3" s="1"/>
  <c r="CV47" i="3" l="1"/>
  <c r="CV69" i="3" s="1"/>
  <c r="CV48" i="3" l="1"/>
  <c r="CW45" i="3"/>
  <c r="CW46" i="3" s="1"/>
  <c r="CV63" i="3"/>
  <c r="CV42" i="3" s="1"/>
  <c r="CW47" i="3" l="1"/>
  <c r="CW69" i="3" s="1"/>
  <c r="CW48" i="3" l="1"/>
  <c r="CX45" i="3"/>
  <c r="CX46" i="3" s="1"/>
  <c r="CW63" i="3"/>
  <c r="CW42" i="3" s="1"/>
  <c r="CX47" i="3" l="1"/>
  <c r="CX69" i="3" s="1"/>
  <c r="CX63" i="3" l="1"/>
  <c r="CX42" i="3" s="1"/>
  <c r="CX48" i="3"/>
  <c r="CY45" i="3"/>
  <c r="CY46" i="3" s="1"/>
  <c r="CY47" i="3" l="1"/>
  <c r="CY69" i="3" s="1"/>
  <c r="CY63" i="3" l="1"/>
  <c r="CY42" i="3" s="1"/>
  <c r="CY48" i="3"/>
  <c r="CZ45" i="3"/>
  <c r="CZ46" i="3" s="1"/>
  <c r="CZ47" i="3" l="1"/>
  <c r="CZ69" i="3" s="1"/>
  <c r="CZ48" i="3" l="1"/>
  <c r="DA45" i="3"/>
  <c r="DA46" i="3" s="1"/>
  <c r="CZ63" i="3"/>
  <c r="CZ42" i="3" s="1"/>
  <c r="DA47" i="3" l="1"/>
  <c r="DA69" i="3" s="1"/>
  <c r="DA63" i="3" l="1"/>
  <c r="DA42" i="3" s="1"/>
  <c r="DA48" i="3"/>
  <c r="DB45" i="3"/>
  <c r="DB46" i="3" s="1"/>
  <c r="DB47" i="3" l="1"/>
  <c r="DB69" i="3" s="1"/>
  <c r="DB48" i="3" l="1"/>
  <c r="DB63" i="3"/>
  <c r="DB42" i="3" s="1"/>
  <c r="DC45" i="3"/>
  <c r="DC46" i="3" s="1"/>
  <c r="DC47" i="3" l="1"/>
  <c r="DC69" i="3" s="1"/>
  <c r="DC48" i="3" l="1"/>
  <c r="DD45" i="3"/>
  <c r="DD46" i="3" s="1"/>
  <c r="DC63" i="3"/>
  <c r="DC42" i="3" s="1"/>
  <c r="DD47" i="3" l="1"/>
  <c r="DD69" i="3" s="1"/>
  <c r="DD63" i="3" l="1"/>
  <c r="DD42" i="3" s="1"/>
  <c r="DD48" i="3"/>
  <c r="DE45" i="3"/>
  <c r="DE46" i="3" s="1"/>
  <c r="DE47" i="3" l="1"/>
  <c r="DE69" i="3" s="1"/>
  <c r="DE48" i="3" l="1"/>
  <c r="DF45" i="3"/>
  <c r="DF46" i="3" s="1"/>
  <c r="DE63" i="3"/>
  <c r="DE42" i="3" s="1"/>
  <c r="DF47" i="3" l="1"/>
  <c r="DF69" i="3" s="1"/>
  <c r="DF63" i="3" l="1"/>
  <c r="DF42" i="3" s="1"/>
  <c r="DF48" i="3"/>
  <c r="DG45" i="3"/>
  <c r="DG46" i="3" s="1"/>
  <c r="DG47" i="3" l="1"/>
  <c r="DG69" i="3" s="1"/>
  <c r="DG63" i="3" l="1"/>
  <c r="DG42" i="3" s="1"/>
  <c r="DH45" i="3"/>
  <c r="DH46" i="3" s="1"/>
  <c r="DG48" i="3"/>
  <c r="DH47" i="3" l="1"/>
  <c r="DH69" i="3" s="1"/>
  <c r="DH48" i="3" l="1"/>
  <c r="DI45" i="3"/>
  <c r="DI46" i="3" s="1"/>
  <c r="DH63" i="3"/>
  <c r="DH42" i="3" s="1"/>
  <c r="DI47" i="3" l="1"/>
  <c r="DI69" i="3" s="1"/>
  <c r="DI63" i="3" l="1"/>
  <c r="DI42" i="3" s="1"/>
  <c r="DI48" i="3"/>
  <c r="DJ45" i="3"/>
  <c r="DJ46" i="3" s="1"/>
  <c r="DJ47" i="3" l="1"/>
  <c r="DJ69" i="3" s="1"/>
  <c r="DJ63" i="3" l="1"/>
  <c r="DJ42" i="3" s="1"/>
  <c r="DK45" i="3"/>
  <c r="DK46" i="3" s="1"/>
  <c r="DJ48" i="3"/>
  <c r="DK47" i="3" l="1"/>
  <c r="DK69" i="3" s="1"/>
  <c r="DK48" i="3" l="1"/>
  <c r="DK63" i="3"/>
  <c r="DK42" i="3" s="1"/>
  <c r="DL45" i="3"/>
  <c r="DL46" i="3" s="1"/>
  <c r="DL47" i="3" l="1"/>
  <c r="DL69" i="3" s="1"/>
  <c r="DL63" i="3" l="1"/>
  <c r="DL42" i="3" s="1"/>
  <c r="DL48" i="3"/>
  <c r="DM45" i="3"/>
  <c r="DM46" i="3" s="1"/>
  <c r="DM47" i="3" l="1"/>
  <c r="DM69" i="3" s="1"/>
  <c r="DM63" i="3" l="1"/>
  <c r="DM42" i="3" s="1"/>
  <c r="DM48" i="3"/>
  <c r="DN45" i="3"/>
  <c r="DN46" i="3" s="1"/>
  <c r="DN47" i="3" l="1"/>
  <c r="DN69" i="3" s="1"/>
  <c r="DN63" i="3" l="1"/>
  <c r="DN42" i="3" s="1"/>
  <c r="DN48" i="3"/>
  <c r="DO45" i="3"/>
  <c r="DO46" i="3" s="1"/>
  <c r="DO47" i="3" l="1"/>
  <c r="DO69" i="3" s="1"/>
  <c r="DO63" i="3" l="1"/>
  <c r="DO42" i="3" s="1"/>
  <c r="DP45" i="3"/>
  <c r="DP46" i="3" s="1"/>
  <c r="DO48" i="3"/>
  <c r="DP47" i="3" l="1"/>
  <c r="DP69" i="3" s="1"/>
  <c r="DP63" i="3" l="1"/>
  <c r="DP42" i="3" s="1"/>
  <c r="DP48" i="3"/>
  <c r="DQ45" i="3"/>
  <c r="DQ46" i="3" s="1"/>
  <c r="DQ47" i="3" l="1"/>
  <c r="DQ69" i="3" s="1"/>
  <c r="DQ63" i="3" l="1"/>
  <c r="DQ42" i="3" s="1"/>
  <c r="DR45" i="3"/>
  <c r="DR46" i="3" s="1"/>
  <c r="DQ48" i="3"/>
  <c r="DR47" i="3" l="1"/>
  <c r="DR69" i="3" s="1"/>
  <c r="DR63" i="3" l="1"/>
  <c r="DR42" i="3" s="1"/>
  <c r="DR48" i="3"/>
  <c r="DS45" i="3"/>
  <c r="DS46" i="3" s="1"/>
  <c r="DS47" i="3" l="1"/>
  <c r="DS69" i="3" s="1"/>
  <c r="DS48" i="3" l="1"/>
  <c r="DT45" i="3"/>
  <c r="DT46" i="3" s="1"/>
  <c r="DS63" i="3"/>
  <c r="DS42" i="3" s="1"/>
  <c r="DT47" i="3" l="1"/>
  <c r="DT69" i="3" s="1"/>
  <c r="DT63" i="3" l="1"/>
  <c r="DT42" i="3" s="1"/>
  <c r="DT48" i="3"/>
  <c r="DU45" i="3"/>
  <c r="DU46" i="3" s="1"/>
  <c r="DU47" i="3" l="1"/>
  <c r="DU69" i="3" s="1"/>
  <c r="DU63" i="3" l="1"/>
  <c r="DU42" i="3" s="1"/>
  <c r="DU48" i="3"/>
  <c r="DV45" i="3"/>
  <c r="DV46" i="3" s="1"/>
  <c r="DV47" i="3" l="1"/>
  <c r="DV69" i="3" s="1"/>
  <c r="DV63" i="3" l="1"/>
  <c r="DV42" i="3" s="1"/>
  <c r="DW45" i="3"/>
  <c r="DW46" i="3" s="1"/>
  <c r="DV48" i="3"/>
  <c r="DW47" i="3" l="1"/>
  <c r="DW69" i="3" s="1"/>
  <c r="DW63" i="3" l="1"/>
  <c r="DW42" i="3" s="1"/>
  <c r="DX45" i="3"/>
  <c r="DX46" i="3" s="1"/>
  <c r="DW48" i="3"/>
  <c r="DX47" i="3" l="1"/>
  <c r="DX69" i="3" s="1"/>
  <c r="DX48" i="3" l="1"/>
  <c r="DY45" i="3"/>
  <c r="DY46" i="3" s="1"/>
  <c r="DX63" i="3"/>
  <c r="DX42" i="3" s="1"/>
  <c r="DY47" i="3" l="1"/>
  <c r="DY69" i="3" s="1"/>
  <c r="DZ45" i="3" l="1"/>
  <c r="DZ46" i="3" s="1"/>
  <c r="DY63" i="3"/>
  <c r="DY42" i="3" s="1"/>
  <c r="DY48" i="3"/>
  <c r="DZ47" i="3" l="1"/>
  <c r="DZ69" i="3" s="1"/>
  <c r="DZ63" i="3" l="1"/>
  <c r="DZ42" i="3" s="1"/>
  <c r="EA45" i="3"/>
  <c r="EA46" i="3" s="1"/>
  <c r="DZ48" i="3"/>
  <c r="EA47" i="3" l="1"/>
  <c r="EA69" i="3" s="1"/>
  <c r="EA48" i="3" l="1"/>
  <c r="EB45" i="3"/>
  <c r="EB46" i="3" s="1"/>
  <c r="EA63" i="3"/>
  <c r="EA42" i="3" s="1"/>
  <c r="EB47" i="3" l="1"/>
  <c r="EB69" i="3" s="1"/>
  <c r="EB63" i="3" l="1"/>
  <c r="EB42" i="3" s="1"/>
  <c r="EB48" i="3"/>
  <c r="EC45" i="3"/>
  <c r="EC46" i="3" s="1"/>
  <c r="EC47" i="3" l="1"/>
  <c r="EC69" i="3" s="1"/>
  <c r="EC63" i="3" l="1"/>
  <c r="EC42" i="3" s="1"/>
  <c r="ED45" i="3"/>
  <c r="ED46" i="3" s="1"/>
  <c r="EC48" i="3"/>
  <c r="ED47" i="3" l="1"/>
  <c r="ED69" i="3" s="1"/>
  <c r="EE45" i="3" l="1"/>
  <c r="EE46" i="3" s="1"/>
  <c r="ED48" i="3"/>
  <c r="ED63" i="3"/>
  <c r="ED42" i="3" s="1"/>
  <c r="EE47" i="3" l="1"/>
  <c r="EE69" i="3" s="1"/>
  <c r="EE48" i="3" l="1"/>
  <c r="EF45" i="3"/>
  <c r="EF46" i="3" s="1"/>
  <c r="EE63" i="3"/>
  <c r="EE42" i="3" s="1"/>
  <c r="EF47" i="3" l="1"/>
  <c r="EF69" i="3" s="1"/>
  <c r="EF63" i="3" l="1"/>
  <c r="EF42" i="3" s="1"/>
  <c r="EF48" i="3"/>
  <c r="EG45" i="3"/>
  <c r="EG46" i="3" s="1"/>
  <c r="EG47" i="3" l="1"/>
  <c r="EG69" i="3" s="1"/>
  <c r="EG63" i="3" l="1"/>
  <c r="EG42" i="3" s="1"/>
  <c r="EH45" i="3"/>
  <c r="EH46" i="3" s="1"/>
  <c r="EG48" i="3"/>
  <c r="EH47" i="3" l="1"/>
  <c r="EH69" i="3" s="1"/>
  <c r="EH63" i="3" l="1"/>
  <c r="EH42" i="3" s="1"/>
  <c r="EI45" i="3"/>
  <c r="EI46" i="3" s="1"/>
  <c r="EH48" i="3"/>
  <c r="EI47" i="3" l="1"/>
  <c r="EI69" i="3" s="1"/>
  <c r="EI63" i="3" l="1"/>
  <c r="EI42" i="3" s="1"/>
  <c r="EI48" i="3"/>
  <c r="EJ45" i="3"/>
  <c r="EJ46" i="3" s="1"/>
  <c r="EJ47" i="3" l="1"/>
  <c r="EJ69" i="3" s="1"/>
  <c r="EJ63" i="3" l="1"/>
  <c r="EJ42" i="3" s="1"/>
  <c r="EK45" i="3"/>
  <c r="EK46" i="3" s="1"/>
  <c r="EJ48" i="3"/>
  <c r="EK47" i="3" l="1"/>
  <c r="EK69" i="3" s="1"/>
  <c r="EK63" i="3" l="1"/>
  <c r="EK42" i="3" s="1"/>
  <c r="EK48" i="3"/>
  <c r="EL45" i="3"/>
  <c r="EL46" i="3" s="1"/>
  <c r="EL47" i="3" l="1"/>
  <c r="EL69" i="3" s="1"/>
  <c r="EL63" i="3" l="1"/>
  <c r="EL42" i="3" s="1"/>
  <c r="EL48" i="3"/>
  <c r="EM45" i="3"/>
  <c r="EM46" i="3" s="1"/>
  <c r="EM47" i="3" l="1"/>
  <c r="EM69" i="3" s="1"/>
  <c r="EM63" i="3" l="1"/>
  <c r="EM42" i="3" s="1"/>
  <c r="EN45" i="3"/>
  <c r="EN46" i="3" s="1"/>
  <c r="EM48" i="3"/>
  <c r="EN47" i="3" l="1"/>
  <c r="EN69" i="3" s="1"/>
  <c r="EN63" i="3" l="1"/>
  <c r="EN42" i="3" s="1"/>
  <c r="EN48" i="3"/>
  <c r="EO45" i="3"/>
  <c r="EO46" i="3" s="1"/>
  <c r="EO47" i="3" l="1"/>
  <c r="EO69" i="3" s="1"/>
  <c r="EO63" i="3" l="1"/>
  <c r="EO42" i="3" s="1"/>
  <c r="EO48" i="3"/>
  <c r="EP45" i="3"/>
  <c r="EP46" i="3" s="1"/>
  <c r="EP47" i="3" l="1"/>
  <c r="EP69" i="3" s="1"/>
  <c r="EP63" i="3" l="1"/>
  <c r="EP42" i="3" s="1"/>
  <c r="EQ45" i="3"/>
  <c r="EQ46" i="3" s="1"/>
  <c r="EP48" i="3"/>
  <c r="EQ47" i="3" l="1"/>
  <c r="EQ69" i="3" s="1"/>
  <c r="EQ48" i="3" l="1"/>
  <c r="ER45" i="3"/>
  <c r="ER46" i="3" s="1"/>
  <c r="EQ63" i="3"/>
  <c r="EQ42" i="3" s="1"/>
  <c r="ER47" i="3" l="1"/>
  <c r="ER69" i="3" s="1"/>
  <c r="ER63" i="3" l="1"/>
  <c r="ER42" i="3" s="1"/>
  <c r="ER48" i="3"/>
  <c r="ES45" i="3"/>
  <c r="ES46" i="3" s="1"/>
  <c r="ES47" i="3" l="1"/>
  <c r="ES69" i="3" s="1"/>
  <c r="ES48" i="3" l="1"/>
  <c r="ET45" i="3"/>
  <c r="ET46" i="3" s="1"/>
  <c r="ES63" i="3"/>
  <c r="ES42" i="3" s="1"/>
  <c r="ET47" i="3" l="1"/>
  <c r="ET69" i="3" s="1"/>
  <c r="ET48" i="3" l="1"/>
  <c r="EU45" i="3"/>
  <c r="EU46" i="3" s="1"/>
  <c r="ET63" i="3"/>
  <c r="ET42" i="3" s="1"/>
  <c r="EU47" i="3" l="1"/>
  <c r="EU69" i="3" s="1"/>
  <c r="EU48" i="3" l="1"/>
  <c r="EV45" i="3"/>
  <c r="EV46" i="3" s="1"/>
  <c r="EU63" i="3"/>
  <c r="EU42" i="3" s="1"/>
  <c r="EV47" i="3" l="1"/>
  <c r="EV69" i="3" s="1"/>
  <c r="EV48" i="3" l="1"/>
  <c r="EW45" i="3"/>
  <c r="EW46" i="3" s="1"/>
  <c r="EV63" i="3"/>
  <c r="EV42" i="3" s="1"/>
  <c r="EW47" i="3" l="1"/>
  <c r="EW69" i="3" s="1"/>
  <c r="EX45" i="3" l="1"/>
  <c r="EX46" i="3" s="1"/>
  <c r="EW63" i="3"/>
  <c r="EW42" i="3" s="1"/>
  <c r="EW48" i="3"/>
  <c r="EX47" i="3" l="1"/>
  <c r="EX69" i="3" s="1"/>
  <c r="EX63" i="3" l="1"/>
  <c r="EX42" i="3" s="1"/>
  <c r="EX48" i="3"/>
  <c r="EY45" i="3"/>
  <c r="EY46" i="3" s="1"/>
  <c r="EY47" i="3" l="1"/>
  <c r="EY69" i="3" s="1"/>
  <c r="EY48" i="3" l="1"/>
  <c r="EZ45" i="3"/>
  <c r="EZ46" i="3" s="1"/>
  <c r="EY63" i="3"/>
  <c r="EY42" i="3" s="1"/>
  <c r="EZ47" i="3" l="1"/>
  <c r="EZ69" i="3" s="1"/>
  <c r="EZ48" i="3" l="1"/>
  <c r="FA45" i="3"/>
  <c r="FA46" i="3" s="1"/>
  <c r="EZ63" i="3"/>
  <c r="EZ42" i="3" s="1"/>
  <c r="FA47" i="3" l="1"/>
  <c r="FA69" i="3" s="1"/>
  <c r="FA48" i="3" l="1"/>
  <c r="FB45" i="3"/>
  <c r="FB46" i="3" s="1"/>
  <c r="FA63" i="3"/>
  <c r="FA42" i="3" s="1"/>
  <c r="FB47" i="3" l="1"/>
  <c r="FB69" i="3" s="1"/>
  <c r="FC45" i="3" l="1"/>
  <c r="FC46" i="3" s="1"/>
  <c r="FB63" i="3"/>
  <c r="FB42" i="3" s="1"/>
  <c r="FB48" i="3"/>
  <c r="FC47" i="3" l="1"/>
  <c r="FC69" i="3" s="1"/>
  <c r="FC48" i="3" l="1"/>
  <c r="FD45" i="3"/>
  <c r="FD46" i="3" s="1"/>
  <c r="FC63" i="3"/>
  <c r="FC42" i="3" s="1"/>
  <c r="FD47" i="3" l="1"/>
  <c r="FD69" i="3" s="1"/>
  <c r="FD63" i="3" l="1"/>
  <c r="FD42" i="3" s="1"/>
  <c r="FD48" i="3"/>
  <c r="FE45" i="3"/>
  <c r="FE46" i="3" s="1"/>
  <c r="FE47" i="3" l="1"/>
  <c r="FE69" i="3" s="1"/>
  <c r="FF45" i="3" l="1"/>
  <c r="FF46" i="3" s="1"/>
  <c r="FE63" i="3"/>
  <c r="FE42" i="3" s="1"/>
  <c r="FE48" i="3"/>
  <c r="FF47" i="3" l="1"/>
  <c r="FF69" i="3" s="1"/>
  <c r="FF63" i="3" l="1"/>
  <c r="FF42" i="3" s="1"/>
  <c r="FF48" i="3"/>
  <c r="FG45" i="3"/>
  <c r="FG46" i="3" s="1"/>
  <c r="FG47" i="3" l="1"/>
  <c r="FG69" i="3" s="1"/>
  <c r="FH45" i="3" l="1"/>
  <c r="FH46" i="3" s="1"/>
  <c r="FG48" i="3"/>
  <c r="FG63" i="3"/>
  <c r="FG42" i="3" s="1"/>
  <c r="FH47" i="3" l="1"/>
  <c r="FH69" i="3" s="1"/>
  <c r="FH48" i="3" l="1"/>
  <c r="FI45" i="3"/>
  <c r="FI46" i="3" s="1"/>
  <c r="FH63" i="3"/>
  <c r="FH42" i="3" s="1"/>
  <c r="FI47" i="3" l="1"/>
  <c r="FI69" i="3" s="1"/>
  <c r="FJ45" i="3" l="1"/>
  <c r="FJ46" i="3" s="1"/>
  <c r="FI63" i="3"/>
  <c r="FI42" i="3" s="1"/>
  <c r="FI48" i="3"/>
  <c r="FJ47" i="3" l="1"/>
  <c r="FJ69" i="3" s="1"/>
  <c r="FK45" i="3" l="1"/>
  <c r="FK46" i="3" s="1"/>
  <c r="FJ63" i="3"/>
  <c r="FJ42" i="3" s="1"/>
  <c r="FJ48" i="3"/>
  <c r="FK47" i="3" l="1"/>
  <c r="FK69" i="3" s="1"/>
  <c r="R15" i="2" s="1"/>
  <c r="R17" i="2" l="1"/>
  <c r="FK63" i="3"/>
  <c r="FK48" i="3"/>
  <c r="G38" i="1" l="1"/>
  <c r="FK42" i="3"/>
  <c r="G19" i="1"/>
  <c r="G22" i="1" s="1"/>
  <c r="C42" i="3" l="1"/>
  <c r="G4" i="1" s="1"/>
  <c r="G9" i="1"/>
  <c r="B11" i="4" l="1"/>
  <c r="C3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Atualizacao FR 2025</author>
  </authors>
  <commentList>
    <comment ref="C2" authorId="0" shapeId="0" xr:uid="{7AC72694-4392-41BF-A25E-FDA688A0528C}">
      <text>
        <r>
          <rPr>
            <b/>
            <sz val="9"/>
            <color indexed="81"/>
            <rFont val="Segoe UI"/>
            <family val="2"/>
          </rPr>
          <t>Nome que identifica o crédito/legal claim. Vira o título do documento impresso.</t>
        </r>
      </text>
    </comment>
    <comment ref="G2" authorId="0" shapeId="0" xr:uid="{CA667B10-6BEF-4407-AFC9-3FC6737BF852}">
      <text>
        <r>
          <rPr>
            <b/>
            <sz val="9"/>
            <color indexed="81"/>
            <rFont val="Segoe UI"/>
            <family val="2"/>
          </rPr>
          <t>Data em que o cálculo foi feito. Default = hoje (fórmula); sobrescreva para fixar.</t>
        </r>
      </text>
    </comment>
    <comment ref="C10" authorId="0" shapeId="0" xr:uid="{2031342A-BF46-4D7D-B6BD-FD05E04641C7}">
      <text>
        <r>
          <rPr>
            <b/>
            <sz val="9"/>
            <color indexed="81"/>
            <rFont val="Segoe UI"/>
            <family val="2"/>
          </rPr>
          <t>Valor do precatório HOJE (na data-base) — já inclui o valor requisitado + os juros/correção acruados até hoje. É o que é amortizado no pagamento.</t>
        </r>
      </text>
    </comment>
    <comment ref="C11" authorId="0" shapeId="0" xr:uid="{4936B7D3-1A20-4FB2-B54A-7867FAADAD1B}">
      <text>
        <r>
          <rPr>
            <b/>
            <sz val="9"/>
            <color indexed="81"/>
            <rFont val="Segoe UI"/>
            <family val="2"/>
          </rPr>
          <t>Principal (valor requisitado), sem os juros já acruados. O juros simples forward (IPCA+spread) incide sobre ESTE valor, não sobre o valor atualizado (que já tem juros). Deixe 0 para usar o valor atualizado (precatório recém-inscrito).</t>
        </r>
      </text>
    </comment>
    <comment ref="C12" authorId="0" shapeId="0" xr:uid="{CDE4A7B8-86BA-4DF4-A808-BEE3C11AC899}">
      <text>
        <r>
          <rPr>
            <b/>
            <sz val="9"/>
            <color indexed="81"/>
            <rFont val="Segoe UI"/>
            <family val="2"/>
          </rPr>
          <t>Meses entre virar precatório e o pagamento (bullet).</t>
        </r>
      </text>
    </comment>
    <comment ref="C13" authorId="0" shapeId="0" xr:uid="{0B27B8B3-D3E3-4C1A-BAC5-0FCD74176C6D}">
      <text>
        <r>
          <rPr>
            <b/>
            <sz val="9"/>
            <color indexed="81"/>
            <rFont val="Segoe UI"/>
            <family val="2"/>
          </rPr>
          <t>O precatório é SEMPRE corrigido por IPCA + spread. Só o pré-precatório pode variar de índice. O IPCA usado é o das premissas (ETTJ implícito ou manual).</t>
        </r>
      </text>
    </comment>
    <comment ref="C14" authorId="0" shapeId="0" xr:uid="{6E9EB975-4A38-4EB8-8693-607B7C3ED682}">
      <text>
        <r>
          <rPr>
            <b/>
            <sz val="9"/>
            <color indexed="81"/>
            <rFont val="Segoe UI"/>
            <family val="2"/>
          </rPr>
          <t>Spread somado ao IPCA na correção do precatório (default 2% a.a.).</t>
        </r>
      </text>
    </comment>
    <comment ref="C15" authorId="0" shapeId="0" xr:uid="{4B313EF3-8781-401C-8C05-184390E76D71}">
      <text>
        <r>
          <rPr>
            <b/>
            <sz val="9"/>
            <color indexed="81"/>
            <rFont val="Segoe UI"/>
            <family val="2"/>
          </rPr>
          <t>Data em que a operação começa (correção e desembolso). Default = data-base da ETTJ. O 1º mês é pro-rata a partir dela. A curva é sempre lida pela data-base da ETTJ.</t>
        </r>
      </text>
    </comment>
    <comment ref="C21" authorId="0" shapeId="0" xr:uid="{7F5ABD50-9ECA-46D2-9565-0DE4E8367F35}">
      <text>
        <r>
          <rPr>
            <b/>
            <sz val="9"/>
            <color indexed="81"/>
            <rFont val="Segoe UI"/>
            <family val="2"/>
          </rPr>
          <t>Meses até o crédito ser efetivamente inscrito como precatório. Até lá corrige pela 'Correção pré-precatório'.</t>
        </r>
      </text>
    </comment>
    <comment ref="C22" authorId="0" shapeId="0" xr:uid="{01C11E63-E3D5-4230-8F59-71687C6DC1D9}">
      <text>
        <r>
          <rPr>
            <b/>
            <sz val="9"/>
            <color indexed="81"/>
            <rFont val="Segoe UI"/>
            <family val="2"/>
          </rPr>
          <t>Índice que corrige o crédito ANTES de virar precatório. Pré = taxa fixa (a taxa abaixo É a correção); CDI = curva nominal (FRA) + taxa; IPCA = inflação (premissa IPCA) + taxa.</t>
        </r>
      </text>
    </comment>
    <comment ref="C23" authorId="0" shapeId="0" xr:uid="{186EA8A3-24F5-42EC-B148-961F5BD2BFC8}">
      <text>
        <r>
          <rPr>
            <b/>
            <sz val="9"/>
            <color indexed="81"/>
            <rFont val="Segoe UI"/>
            <family val="2"/>
          </rPr>
          <t>Taxa fixa (se índice = Pré) ou spread somado ao índice (se CDI/IPCA), % a.a.</t>
        </r>
      </text>
    </comment>
    <comment ref="C25" authorId="0" shapeId="0" xr:uid="{DE83C0C3-07B8-40CA-A1E6-494981D3B602}">
      <text>
        <r>
          <rPr>
            <b/>
            <sz val="9"/>
            <color indexed="81"/>
            <rFont val="Segoe UI"/>
            <family val="2"/>
          </rPr>
          <t>Preço total da aquisição. À vista = pago de uma vez na data de início; parcelado = dividido em N parcelas mensais a partir da data de início (tabela editável abaixo).</t>
        </r>
      </text>
    </comment>
    <comment ref="C26" authorId="0" shapeId="0" xr:uid="{4C53F757-030E-497B-AFE0-03CBBFA67916}">
      <text>
        <r>
          <rPr>
            <b/>
            <sz val="9"/>
            <color indexed="81"/>
            <rFont val="Segoe UI"/>
            <family val="2"/>
          </rPr>
          <t>Parcelas (data e valor) aparecem abaixo ao escolher Parcelado. Preenchem automaticamente N mensais de Valor÷N; edite data/valor à vontade. Acima de 10 parcelas usa V÷N igual automático.</t>
        </r>
      </text>
    </comment>
    <comment ref="D27" authorId="0" shapeId="0" xr:uid="{4EF90A47-EC61-4EC3-BBBD-FDC968F8BF38}">
      <text>
        <r>
          <rPr>
            <b/>
            <sz val="9"/>
            <color indexed="81"/>
            <rFont val="Segoe UI"/>
            <family val="2"/>
          </rPr>
          <t>Soma real das parcelas da tabela. Fica vermelha quando difere do 'Valor a pagar' (que segue alimentando o fallback V÷N e o eixo da sensibilidade).</t>
        </r>
      </text>
    </comment>
    <comment ref="C38" authorId="0" shapeId="0" xr:uid="{400DFBC3-0DCF-4732-A80A-6CC4CF12F9CE}">
      <text>
        <r>
          <rPr>
            <b/>
            <sz val="9"/>
            <color indexed="81"/>
            <rFont val="Segoe UI"/>
            <family val="2"/>
          </rPr>
          <t>Índice + spread da subordinada (hurdle). Pré = taxa fixa; CDI = curva nominal (spot); IPCA = inflação (premissa IPCA). O earn-out só paga o excedente acima desse piso.</t>
        </r>
      </text>
    </comment>
    <comment ref="F38" authorId="0" shapeId="0" xr:uid="{7A5AB4DA-AF8D-4DB9-9F39-23CED3B5C3DC}">
      <text>
        <r>
          <rPr>
            <b/>
            <sz val="9"/>
            <color indexed="81"/>
            <rFont val="Segoe UI"/>
            <family val="2"/>
          </rPr>
          <t>Âncora de negociação: data em que o piso do earn-out (preço remarcado a piso-índice+spread) alcança o valor a receber (face corrigido no tempo × fator de acordo). A partir dela o earn-out é zero. 'Nasce zerado' = piso já supera o recebido hoje; 'Não zera' = piso cresce devagar demais e não alcança no horizonte.</t>
        </r>
      </text>
    </comment>
    <comment ref="C39" authorId="0" shapeId="0" xr:uid="{40BFD580-161B-49C3-BABF-3EF6D2261B6E}">
      <text>
        <r>
          <rPr>
            <b/>
            <sz val="9"/>
            <color indexed="81"/>
            <rFont val="Segoe UI"/>
            <family val="2"/>
          </rPr>
          <t>Spread somado ao índice do piso (ou a própria taxa fixa, se índice = Pré), % a.a.</t>
        </r>
      </text>
    </comment>
    <comment ref="C51" authorId="0" shapeId="0" xr:uid="{B33A09FC-A95E-4601-A42E-92E93679285C}">
      <text>
        <r>
          <rPr>
            <b/>
            <sz val="9"/>
            <color indexed="81"/>
            <rFont val="Segoe UI"/>
            <family val="2"/>
          </rPr>
          <t>Percentual dos fluxos que você recebe num acordo direto (haircut). Ex.: 60% = recebe 60% do que o precatório pagaria.</t>
        </r>
      </text>
    </comment>
    <comment ref="C52" authorId="0" shapeId="0" xr:uid="{43A77D5D-71C8-48CE-80B6-5EBAA7AA98CD}">
      <text>
        <r>
          <rPr>
            <b/>
            <sz val="9"/>
            <color indexed="81"/>
            <rFont val="Segoe UI"/>
            <family val="2"/>
          </rPr>
          <t>Meses até o acordo direto liquidar. SUBSTITUI o 'Prazo até pagamento' da fila normal quando 'Há acordo?' está ligado.</t>
        </r>
      </text>
    </comment>
    <comment ref="C55" authorId="0" shapeId="0" xr:uid="{0BC34D0E-8954-47FC-9BCE-902DB83BC701}">
      <text>
        <r>
          <rPr>
            <b/>
            <sz val="9"/>
            <color indexed="81"/>
            <rFont val="Segoe UI"/>
            <family val="2"/>
          </rPr>
          <t>Premissa ÚNICA de inflação. ETTJ = IPCA médio implícito (breakeven) da curva. Manual = você sobrepõe. Alimenta tudo que estiver indexado a IPCA (pré-precatório, precatório e earn-out).</t>
        </r>
      </text>
    </comment>
    <comment ref="C56" authorId="0" shapeId="0" xr:uid="{48B302BD-DCCA-40E9-9419-57088725D6F4}">
      <text>
        <r>
          <rPr>
            <b/>
            <sz val="9"/>
            <color indexed="81"/>
            <rFont val="Segoe UI"/>
            <family val="2"/>
          </rPr>
          <t>IPCA manual (% a.a.). Só é usado quando o modo acima é 'Manual'.</t>
        </r>
      </text>
    </comment>
    <comment ref="C57" authorId="0" shapeId="0" xr:uid="{4CB7234C-31BC-4255-B4BB-31A186FC19DD}">
      <text>
        <r>
          <rPr>
            <b/>
            <sz val="9"/>
            <color indexed="81"/>
            <rFont val="Segoe UI"/>
            <family val="2"/>
          </rPr>
          <t>Resolve o 'Valor a pagar' para que a TIR bata na meta. No parcelado com tabela preenchida, escala as parcelas preservando datas e distribuição.</t>
        </r>
      </text>
    </comment>
    <comment ref="C58" authorId="0" shapeId="0" xr:uid="{7B74C35B-2E9F-4E62-A7CC-0387BA801D27}">
      <text>
        <r>
          <rPr>
            <b/>
            <sz val="9"/>
            <color indexed="81"/>
            <rFont val="Segoe UI"/>
            <family val="2"/>
          </rPr>
          <t>IPCA médio efetivamente aplicado na correção do precatório (média da ETTJ na janela pós-precatório, ou o manual).</t>
        </r>
      </text>
    </comment>
  </commentList>
</comments>
</file>

<file path=xl/sharedStrings.xml><?xml version="1.0" encoding="utf-8"?>
<sst xmlns="http://schemas.openxmlformats.org/spreadsheetml/2006/main" count="2706" uniqueCount="182">
  <si>
    <t>Precificação de Precatório</t>
  </si>
  <si>
    <t>CONFIGURAÇÃO</t>
  </si>
  <si>
    <t>RESULTADO</t>
  </si>
  <si>
    <t>ANÁLISE DE SENSIBILIDADE</t>
  </si>
  <si>
    <t>É precatório?</t>
  </si>
  <si>
    <t>Não</t>
  </si>
  <si>
    <t>TIR</t>
  </si>
  <si>
    <t>TIR × %EO</t>
  </si>
  <si>
    <t>Modo de pagamento</t>
  </si>
  <si>
    <t>Preço total (R$)</t>
  </si>
  <si>
    <t>Fator %EO</t>
  </si>
  <si>
    <t>Há earn-out?</t>
  </si>
  <si>
    <t>Sim</t>
  </si>
  <si>
    <t>Há acordo?</t>
  </si>
  <si>
    <t>MOIC</t>
  </si>
  <si>
    <t>Pagamento em</t>
  </si>
  <si>
    <t>Prazo até pagamento (meses)</t>
  </si>
  <si>
    <t>Correção precatório — índice</t>
  </si>
  <si>
    <t>IPCA</t>
  </si>
  <si>
    <t>Correção precatório — spread</t>
  </si>
  <si>
    <t>DATAS-CHAVE</t>
  </si>
  <si>
    <t>Data-base (ETTJ)</t>
  </si>
  <si>
    <t>Vira precatório em</t>
  </si>
  <si>
    <t>Pagamento (bullet) em</t>
  </si>
  <si>
    <t>Vira precatório em (meses)</t>
  </si>
  <si>
    <t>Data</t>
  </si>
  <si>
    <t>EARN-OUT</t>
  </si>
  <si>
    <t>Piso — índice</t>
  </si>
  <si>
    <t>CDI</t>
  </si>
  <si>
    <t>Piso — spread (% a.a.)</t>
  </si>
  <si>
    <t>Earn-out 2 — valor (R$)</t>
  </si>
  <si>
    <t>Earn-out 2 — mês</t>
  </si>
  <si>
    <t>De (mês)</t>
  </si>
  <si>
    <t>Até (mês)</t>
  </si>
  <si>
    <t>% earn-out</t>
  </si>
  <si>
    <t>ACORDO</t>
  </si>
  <si>
    <t>Fator de deságio (%)</t>
  </si>
  <si>
    <t>Prazo (meses)</t>
  </si>
  <si>
    <t>ETTJ IPCA</t>
  </si>
  <si>
    <t>Inflação Implicita</t>
  </si>
  <si>
    <t>Cabeça</t>
  </si>
  <si>
    <t>Pré</t>
  </si>
  <si>
    <t>Mensal</t>
  </si>
  <si>
    <t>Premissa de IPCA</t>
  </si>
  <si>
    <t>Premissa de Pré</t>
  </si>
  <si>
    <t>Mês</t>
  </si>
  <si>
    <t>IPCA +</t>
  </si>
  <si>
    <t>Trimestral</t>
  </si>
  <si>
    <t>Beta 1</t>
  </si>
  <si>
    <t>CDI +</t>
  </si>
  <si>
    <t>Semestral</t>
  </si>
  <si>
    <t>Beta2</t>
  </si>
  <si>
    <t>%CDI</t>
  </si>
  <si>
    <t>Anual</t>
  </si>
  <si>
    <t>Beta3</t>
  </si>
  <si>
    <t>Bullet</t>
  </si>
  <si>
    <t>Beta4</t>
  </si>
  <si>
    <t>Lambida1</t>
  </si>
  <si>
    <t>Lambida2</t>
  </si>
  <si>
    <t>Beta 2</t>
  </si>
  <si>
    <t>Beta 3</t>
  </si>
  <si>
    <t>Beta 4</t>
  </si>
  <si>
    <t>Lambda 1</t>
  </si>
  <si>
    <t>Lambda 2</t>
  </si>
  <si>
    <t>PREFIXADOS</t>
  </si>
  <si>
    <t>Mês (índice)</t>
  </si>
  <si>
    <t>dc</t>
  </si>
  <si>
    <t>Du</t>
  </si>
  <si>
    <t>CURVAS ETTJ</t>
  </si>
  <si>
    <t xml:space="preserve">FRA </t>
  </si>
  <si>
    <t>Juros Real</t>
  </si>
  <si>
    <t>RECEBÍVEIS</t>
  </si>
  <si>
    <t>n</t>
  </si>
  <si>
    <t>Recebiveis</t>
  </si>
  <si>
    <t>Total de DC</t>
  </si>
  <si>
    <t>1ª LEVA — PARÂMETROS</t>
  </si>
  <si>
    <t>1ª Leva</t>
  </si>
  <si>
    <t>Virou precatório</t>
  </si>
  <si>
    <t>prazo de pagamento</t>
  </si>
  <si>
    <t>Correção DC</t>
  </si>
  <si>
    <t>Correção Precatório</t>
  </si>
  <si>
    <t>Acordo</t>
  </si>
  <si>
    <t>Valor Atual</t>
  </si>
  <si>
    <t>PRECATÓRIO — SUB-LEDGER</t>
  </si>
  <si>
    <t>Precatório - BoP</t>
  </si>
  <si>
    <t>Juros Acruados</t>
  </si>
  <si>
    <t>Juros Pagos</t>
  </si>
  <si>
    <t>Amortização</t>
  </si>
  <si>
    <t>PMT</t>
  </si>
  <si>
    <t>Precatório - EoP</t>
  </si>
  <si>
    <t>AQUISIÇÃO</t>
  </si>
  <si>
    <t>Desconto</t>
  </si>
  <si>
    <t>Valor pago</t>
  </si>
  <si>
    <t>DC — SUB-LEDGER</t>
  </si>
  <si>
    <t>DC - BoP</t>
  </si>
  <si>
    <t>Juros mês</t>
  </si>
  <si>
    <t>Juros ativo</t>
  </si>
  <si>
    <t>DC - EoP</t>
  </si>
  <si>
    <t>FLUXO DA OPERAÇÃO</t>
  </si>
  <si>
    <t>Fluxo da 1ª Leva</t>
  </si>
  <si>
    <t>Earn out</t>
  </si>
  <si>
    <t>Valor Corrigido - BoP</t>
  </si>
  <si>
    <t>Valor Corrigido - EoP</t>
  </si>
  <si>
    <t>Desembolso (levas)</t>
  </si>
  <si>
    <t>PGTO Earnout</t>
  </si>
  <si>
    <t>PGTO Earnout 2</t>
  </si>
  <si>
    <t>SENSIBILIDADES</t>
  </si>
  <si>
    <t>Drivers de análise (neutros = base). As tabelas abaixo os variam.</t>
  </si>
  <si>
    <t>Δ prazo (meses)</t>
  </si>
  <si>
    <t>Fator de preço</t>
  </si>
  <si>
    <t>Fator de % earn-out</t>
  </si>
  <si>
    <t>TIR × % do earn-out (fator sobre as janelas)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</si>
  <si>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</si>
  <si>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</si>
  <si>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</si>
  <si>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</si>
  <si>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</si>
  <si>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</si>
  <si>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</si>
  <si>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</si>
  <si>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</si>
  <si>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</si>
  <si>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</si>
  <si>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</si>
  <si>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</si>
  <si>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</si>
  <si>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Nossa Sr.a Aparecida - Padroeira do Brasil</t>
  </si>
  <si>
    <t>Finados</t>
  </si>
  <si>
    <t>Proclamação da República</t>
  </si>
  <si>
    <t>Natal</t>
  </si>
  <si>
    <t>domingo</t>
  </si>
  <si>
    <t>quarta-feira</t>
  </si>
  <si>
    <t>Dia Nacional de Zumbi e da Consciência Negra</t>
  </si>
  <si>
    <t xml:space="preserve">Confraternização Universal </t>
  </si>
  <si>
    <t>Fonte: ANBIMA</t>
  </si>
  <si>
    <t>1) De acordo com a Resolução n º 2.516, a partir do ano 2000, a quinta-feira da Semana Santa foi considerada dia útil. Esta mesma Resolução dispensou as instituições financeiras do cumprimento do horário mínimo de funcionamento, desde que informem ao público.</t>
  </si>
  <si>
    <t>2) A lei nº 9.504/97 estabeleceu que, em ano eleitoral, o 1º turno das eleições será realizado no primeiro domingo de outubro; e o 2º turno, quando houver, no último domingo do referido mês.</t>
  </si>
  <si>
    <t>3) De acordo com a Resolução nº 2.596/99, no último dia útil do ano não haverá atendimento ao público.</t>
  </si>
  <si>
    <t>4) Esta listagem não inclui os feriados municipais, eleições e o último dia do ano. O critério adotado foi o de indicar os feriados em que não há sensibilização das Reservas Bancárias.</t>
  </si>
  <si>
    <t>Data de início</t>
  </si>
  <si>
    <t>Valor a pagar (R$)</t>
  </si>
  <si>
    <t>Nº de parcelas</t>
  </si>
  <si>
    <t>COMPOSIÇÃO DO RECEBIMENTO</t>
  </si>
  <si>
    <t>(+) Correção até o pagamento</t>
  </si>
  <si>
    <t>(×) Fator de acordo</t>
  </si>
  <si>
    <t>(−) Earn-out pago</t>
  </si>
  <si>
    <t>(=) Recebido líquido</t>
  </si>
  <si>
    <t>Preço pago</t>
  </si>
  <si>
    <t>Override de prazo (sensib.)</t>
  </si>
  <si>
    <t>prazoBase</t>
  </si>
  <si>
    <t>passo</t>
  </si>
  <si>
    <t>TIR — prazo (linhas) × fator de preço (colunas)</t>
  </si>
  <si>
    <t>TIR — prazo (linhas) × preço (colunas)</t>
  </si>
  <si>
    <t>prazo \ preço</t>
  </si>
  <si>
    <t>Valor da Causa</t>
  </si>
  <si>
    <t>IPCA + 2% (a.a., simples)</t>
  </si>
  <si>
    <t>PRÉ (a.a., compostos)</t>
  </si>
  <si>
    <t>PREMISSAS &amp; FERRAMENTAS</t>
  </si>
  <si>
    <t>IPCA — modo (ETTJ/Manual)</t>
  </si>
  <si>
    <t>ETTJ</t>
  </si>
  <si>
    <t>IPCA manual (% a.a.)</t>
  </si>
  <si>
    <t>TIR-alvo (% a.a.)</t>
  </si>
  <si>
    <t>Fator deságio</t>
  </si>
  <si>
    <t>Valor atualizado</t>
  </si>
  <si>
    <t>(=) Valor atualizado corrigido</t>
  </si>
  <si>
    <t>Nome do crédito (DIU)</t>
  </si>
  <si>
    <t>Data do cálculo</t>
  </si>
  <si>
    <t>Correção pré-precatório — índice</t>
  </si>
  <si>
    <t>IPCA implícito aplicado (a.a.)</t>
  </si>
  <si>
    <t>Correção pré-precatório — taxa</t>
  </si>
  <si>
    <t>Corr FULL (incr)</t>
  </si>
  <si>
    <t>Face corr FULL</t>
  </si>
  <si>
    <t>Recebido FULL</t>
  </si>
  <si>
    <t>Gap (receb-piso)</t>
  </si>
  <si>
    <t>EO zera — nPos</t>
  </si>
  <si>
    <t>EO zera — nCols</t>
  </si>
  <si>
    <t>EO zera — data</t>
  </si>
  <si>
    <t>Earn-out zera em</t>
  </si>
  <si>
    <t>À vista</t>
  </si>
  <si>
    <t>Valor da Causa (pós-conv.)</t>
  </si>
  <si>
    <t>Valor requisitado (na conversão)</t>
  </si>
  <si>
    <t>Valor atualizado (R$)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</si>
</sst>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"/>
    <numFmt numFmtId="165" formatCode="0.0"/>
    <numFmt numFmtId="166" formatCode="0.0%"/>
    <numFmt numFmtId="167" formatCode="[$-416]mmm\-yy;@"/>
    <numFmt numFmtId="168" formatCode="_-* #,##0_-;\-* #,##0_-;_-* &quot;-&quot;??_-;_-@_-"/>
    <numFmt numFmtId="169" formatCode="0&quot; meses&quot;"/>
    <numFmt numFmtId="170" formatCode="yyyy\-mm\-dd"/>
    <numFmt numFmtId="171" formatCode="0.0&quot;x&quot;"/>
    <numFmt numFmtId="172" formatCode="_-* #,##0_-;\(#,##0\);_-* &quot;-&quot;??_-;_-@_-"/>
    <numFmt numFmtId="173" formatCode="&quot;CDI +&quot;0%"/>
    <numFmt numFmtId="174" formatCode="&quot;IPCA+&quot;0.00%"/>
    <numFmt numFmtId="175" formatCode="0&quot; m&quot;"/>
    <numFmt numFmtId="176" formatCode="yyyy\-mm\-dd;@"/>
    <numFmt numFmtId="177" formatCode="&quot;Soma: &quot;#,##0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8"/>
      <color theme="1"/>
      <name val="Wingdings"/>
      <charset val="2"/>
    </font>
    <font>
      <sz val="11"/>
      <color rgb="FF00B05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595959"/>
      <name val="Aptos Narrow"/>
      <family val="2"/>
      <scheme val="minor"/>
    </font>
    <font>
      <sz val="11"/>
      <color rgb="FF1F4E79"/>
      <name val="Aptos Narrow"/>
      <family val="2"/>
      <scheme val="minor"/>
    </font>
    <font>
      <sz val="11"/>
      <color rgb="FF548235"/>
      <name val="Aptos Narrow"/>
      <family val="2"/>
      <scheme val="minor"/>
    </font>
    <font>
      <sz val="11"/>
      <color rgb="FF404040"/>
      <name val="Aptos Narrow"/>
      <family val="2"/>
      <scheme val="minor"/>
    </font>
    <font>
      <b/>
      <sz val="11"/>
      <color rgb="FF548235"/>
      <name val="Aptos Narrow"/>
      <family val="2"/>
      <scheme val="minor"/>
    </font>
    <font>
      <b/>
      <sz val="14"/>
      <color rgb="FF2E2E2E"/>
      <name val="Aptos Narrow"/>
      <family val="2"/>
    </font>
    <font>
      <i/>
      <sz val="10"/>
      <color rgb="FF808080"/>
      <name val="Aptos Narrow"/>
      <family val="2"/>
      <scheme val="minor"/>
    </font>
    <font>
      <b/>
      <sz val="11"/>
      <color rgb="FF595959"/>
      <name val="Aptos Narrow"/>
      <family val="2"/>
    </font>
    <font>
      <b/>
      <sz val="9"/>
      <color rgb="FF808080"/>
      <name val="Aptos Narrow"/>
      <family val="2"/>
    </font>
    <font>
      <b/>
      <sz val="15"/>
      <color rgb="FF2E2E2E"/>
      <name val="Aptos Narrow"/>
    </font>
    <font>
      <sz val="11"/>
      <color rgb="FF595959"/>
      <name val="Aptos Narrow"/>
    </font>
    <font>
      <sz val="11"/>
      <color rgb="FF1F4E79"/>
      <name val="Aptos Narrow"/>
    </font>
    <font>
      <sz val="11"/>
      <color rgb="FF548235"/>
      <name val="Aptos Narrow"/>
    </font>
    <font>
      <sz val="11"/>
      <color rgb="FF404040"/>
      <name val="Aptos Narrow"/>
    </font>
    <font>
      <b/>
      <sz val="9"/>
      <color rgb="FF808080"/>
      <name val="Aptos Narrow"/>
    </font>
    <font>
      <sz val="11"/>
      <color rgb="FF595959"/>
      <name val="Aptos Narrow"/>
      <family val="2"/>
      <scheme val="minor"/>
    </font>
    <font>
      <b/>
      <sz val="11"/>
      <color rgb="FF1F4E79"/>
      <name val="Aptos Narrow"/>
      <family val="2"/>
      <scheme val="minor"/>
    </font>
    <font>
      <sz val="11"/>
      <color rgb="FF595959"/>
      <name val="Aptos Narrow"/>
      <family val="2"/>
    </font>
    <font>
      <b/>
      <sz val="11"/>
      <color rgb="FF1F4E79"/>
      <name val="Aptos Narrow"/>
      <family val="2"/>
    </font>
    <font>
      <b/>
      <sz val="11"/>
      <color rgb="FF808080"/>
      <name val="Aptos Narrow"/>
      <family val="2"/>
    </font>
    <font>
      <sz val="11"/>
      <color theme="1"/>
      <name val="Aptos Narrow"/>
      <family val="2"/>
    </font>
    <font>
      <b/>
      <sz val="11"/>
      <color theme="3" tint="9.9978637043366805E-2"/>
      <name val="Aptos Narrow"/>
      <family val="2"/>
    </font>
    <font>
      <b/>
      <sz val="11"/>
      <color rgb="FF548235"/>
      <name val="Aptos Narrow"/>
      <family val="2"/>
    </font>
    <font>
      <sz val="11"/>
      <color rgb="FF1A1A1A"/>
      <name val="Aptos Narrow"/>
      <family val="2"/>
    </font>
    <font>
      <sz val="11"/>
      <color rgb="FF1A1A1A"/>
      <name val="Aptos Narrow"/>
      <family val="2"/>
      <scheme val="minor"/>
    </font>
    <font>
      <b/>
      <sz val="9"/>
      <color indexed="81"/>
      <name val="Segoe UI"/>
      <family val="2"/>
    </font>
    <font>
      <b/>
      <sz val="11"/>
      <color rgb="FF10243F"/>
      <name val="Aptos Narrow"/>
      <family val="2"/>
      <scheme val="minor"/>
    </font>
    <font>
      <sz val="9"/>
      <color rgb="FF595959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2F2F2"/>
      </patternFill>
    </fill>
    <fill>
      <patternFill patternType="solid">
        <fgColor rgb="FFF7F7F7"/>
      </patternFill>
    </fill>
    <fill>
      <patternFill patternType="solid">
        <fgColor rgb="FFEAF1F8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6">
    <xf numFmtId="0" fontId="0" fillId="0" borderId="0"/>
    <xf numFmtId="43" fontId="1" fillId="0" borderId="0"/>
    <xf numFmtId="9" fontId="1" fillId="0" borderId="0"/>
    <xf numFmtId="0" fontId="4" fillId="0" borderId="0"/>
    <xf numFmtId="0" fontId="1" fillId="0" borderId="0"/>
    <xf numFmtId="44" fontId="1" fillId="0" borderId="0"/>
  </cellStyleXfs>
  <cellXfs count="132">
    <xf numFmtId="0" fontId="0" fillId="0" borderId="0" xfId="0"/>
    <xf numFmtId="10" fontId="0" fillId="0" borderId="0" xfId="2" applyNumberFormat="1" applyFont="1"/>
    <xf numFmtId="0" fontId="0" fillId="2" borderId="0" xfId="0" applyFill="1"/>
    <xf numFmtId="0" fontId="0" fillId="2" borderId="0" xfId="0" applyFill="1" applyAlignment="1">
      <alignment horizontal="right"/>
    </xf>
    <xf numFmtId="14" fontId="0" fillId="2" borderId="0" xfId="0" applyNumberFormat="1" applyFill="1"/>
    <xf numFmtId="164" fontId="0" fillId="2" borderId="0" xfId="0" applyNumberFormat="1" applyFill="1"/>
    <xf numFmtId="165" fontId="0" fillId="0" borderId="0" xfId="0" applyNumberFormat="1"/>
    <xf numFmtId="10" fontId="0" fillId="0" borderId="0" xfId="0" applyNumberFormat="1"/>
    <xf numFmtId="166" fontId="3" fillId="2" borderId="0" xfId="2" applyNumberFormat="1" applyFont="1" applyFill="1"/>
    <xf numFmtId="0" fontId="5" fillId="3" borderId="1" xfId="3" applyFont="1" applyFill="1" applyBorder="1" applyAlignment="1">
      <alignment horizontal="right" wrapText="1"/>
    </xf>
    <xf numFmtId="0" fontId="5" fillId="3" borderId="2" xfId="3" applyFont="1" applyFill="1" applyBorder="1" applyAlignment="1">
      <alignment horizontal="left" wrapText="1"/>
    </xf>
    <xf numFmtId="0" fontId="5" fillId="3" borderId="3" xfId="3" applyFont="1" applyFill="1" applyBorder="1" applyAlignment="1">
      <alignment horizontal="left" wrapText="1"/>
    </xf>
    <xf numFmtId="0" fontId="4" fillId="0" borderId="0" xfId="3"/>
    <xf numFmtId="14" fontId="1" fillId="4" borderId="0" xfId="4" applyNumberFormat="1" applyFill="1" applyAlignment="1">
      <alignment horizontal="right"/>
    </xf>
    <xf numFmtId="0" fontId="1" fillId="4" borderId="0" xfId="4" applyFill="1"/>
    <xf numFmtId="14" fontId="1" fillId="0" borderId="0" xfId="4" applyNumberFormat="1" applyAlignment="1">
      <alignment horizontal="right"/>
    </xf>
    <xf numFmtId="0" fontId="1" fillId="0" borderId="0" xfId="4"/>
    <xf numFmtId="14" fontId="4" fillId="0" borderId="0" xfId="3" applyNumberFormat="1"/>
    <xf numFmtId="0" fontId="5" fillId="0" borderId="0" xfId="3" applyFont="1" applyAlignment="1">
      <alignment horizontal="left"/>
    </xf>
    <xf numFmtId="0" fontId="4" fillId="0" borderId="0" xfId="3" applyAlignment="1">
      <alignment horizontal="left"/>
    </xf>
    <xf numFmtId="0" fontId="6" fillId="0" borderId="0" xfId="3" applyFont="1" applyAlignment="1">
      <alignment horizontal="left"/>
    </xf>
    <xf numFmtId="0" fontId="4" fillId="0" borderId="0" xfId="3" applyAlignment="1">
      <alignment horizontal="right"/>
    </xf>
    <xf numFmtId="167" fontId="0" fillId="2" borderId="0" xfId="0" applyNumberFormat="1" applyFill="1"/>
    <xf numFmtId="166" fontId="0" fillId="2" borderId="0" xfId="0" applyNumberFormat="1" applyFill="1"/>
    <xf numFmtId="0" fontId="7" fillId="2" borderId="0" xfId="0" applyFont="1" applyFill="1"/>
    <xf numFmtId="168" fontId="8" fillId="2" borderId="0" xfId="1" applyNumberFormat="1" applyFont="1" applyFill="1"/>
    <xf numFmtId="168" fontId="0" fillId="2" borderId="0" xfId="0" applyNumberFormat="1" applyFill="1"/>
    <xf numFmtId="0" fontId="2" fillId="2" borderId="0" xfId="0" applyFont="1" applyFill="1"/>
    <xf numFmtId="0" fontId="9" fillId="2" borderId="0" xfId="0" applyFont="1" applyFill="1" applyAlignment="1">
      <alignment horizontal="left" indent="1"/>
    </xf>
    <xf numFmtId="168" fontId="0" fillId="2" borderId="0" xfId="1" applyNumberFormat="1" applyFont="1" applyFill="1"/>
    <xf numFmtId="166" fontId="8" fillId="2" borderId="0" xfId="2" applyNumberFormat="1" applyFont="1" applyFill="1"/>
    <xf numFmtId="10" fontId="0" fillId="2" borderId="0" xfId="2" applyNumberFormat="1" applyFont="1" applyFill="1"/>
    <xf numFmtId="0" fontId="8" fillId="2" borderId="0" xfId="0" applyFont="1" applyFill="1"/>
    <xf numFmtId="0" fontId="0" fillId="2" borderId="0" xfId="0" applyFill="1" applyAlignment="1">
      <alignment horizontal="left" indent="1"/>
    </xf>
    <xf numFmtId="9" fontId="8" fillId="2" borderId="0" xfId="0" applyNumberFormat="1" applyFont="1" applyFill="1"/>
    <xf numFmtId="43" fontId="0" fillId="2" borderId="0" xfId="1" applyFont="1" applyFill="1"/>
    <xf numFmtId="169" fontId="8" fillId="2" borderId="0" xfId="0" applyNumberFormat="1" applyFont="1" applyFill="1"/>
    <xf numFmtId="14" fontId="0" fillId="0" borderId="0" xfId="0" applyNumberFormat="1"/>
    <xf numFmtId="0" fontId="0" fillId="0" borderId="4" xfId="0" applyBorder="1" applyAlignment="1">
      <alignment wrapText="1"/>
    </xf>
    <xf numFmtId="11" fontId="0" fillId="0" borderId="4" xfId="0" applyNumberFormat="1" applyBorder="1" applyAlignment="1">
      <alignment wrapText="1"/>
    </xf>
    <xf numFmtId="43" fontId="0" fillId="2" borderId="0" xfId="0" applyNumberFormat="1" applyFill="1"/>
    <xf numFmtId="0" fontId="11" fillId="0" borderId="0" xfId="0" applyFont="1"/>
    <xf numFmtId="0" fontId="11" fillId="5" borderId="0" xfId="0" applyFont="1" applyFill="1" applyAlignment="1">
      <alignment horizontal="center"/>
    </xf>
    <xf numFmtId="0" fontId="13" fillId="0" borderId="0" xfId="0" applyFont="1"/>
    <xf numFmtId="0" fontId="0" fillId="5" borderId="0" xfId="0" applyFill="1"/>
    <xf numFmtId="0" fontId="10" fillId="0" borderId="5" xfId="0" applyFont="1" applyBorder="1"/>
    <xf numFmtId="0" fontId="0" fillId="0" borderId="5" xfId="0" applyBorder="1"/>
    <xf numFmtId="0" fontId="10" fillId="0" borderId="0" xfId="0" applyFont="1"/>
    <xf numFmtId="0" fontId="2" fillId="5" borderId="0" xfId="0" applyFont="1" applyFill="1"/>
    <xf numFmtId="167" fontId="0" fillId="5" borderId="0" xfId="0" applyNumberFormat="1" applyFill="1"/>
    <xf numFmtId="167" fontId="2" fillId="5" borderId="0" xfId="0" applyNumberFormat="1" applyFont="1" applyFill="1"/>
    <xf numFmtId="0" fontId="10" fillId="5" borderId="0" xfId="0" applyFont="1" applyFill="1"/>
    <xf numFmtId="0" fontId="0" fillId="2" borderId="5" xfId="0" applyFill="1" applyBorder="1"/>
    <xf numFmtId="9" fontId="10" fillId="0" borderId="5" xfId="2" applyFont="1" applyBorder="1"/>
    <xf numFmtId="167" fontId="10" fillId="0" borderId="5" xfId="0" applyNumberFormat="1" applyFont="1" applyBorder="1"/>
    <xf numFmtId="166" fontId="10" fillId="0" borderId="5" xfId="2" applyNumberFormat="1" applyFont="1" applyBorder="1"/>
    <xf numFmtId="172" fontId="0" fillId="2" borderId="5" xfId="0" applyNumberFormat="1" applyFill="1" applyBorder="1"/>
    <xf numFmtId="0" fontId="2" fillId="6" borderId="6" xfId="0" applyFont="1" applyFill="1" applyBorder="1"/>
    <xf numFmtId="166" fontId="2" fillId="6" borderId="6" xfId="2" applyNumberFormat="1" applyFont="1" applyFill="1" applyBorder="1"/>
    <xf numFmtId="172" fontId="2" fillId="6" borderId="6" xfId="0" applyNumberFormat="1" applyFont="1" applyFill="1" applyBorder="1"/>
    <xf numFmtId="168" fontId="12" fillId="2" borderId="0" xfId="1" applyNumberFormat="1" applyFont="1" applyFill="1"/>
    <xf numFmtId="167" fontId="12" fillId="2" borderId="0" xfId="0" applyNumberFormat="1" applyFont="1" applyFill="1"/>
    <xf numFmtId="173" fontId="12" fillId="2" borderId="0" xfId="0" applyNumberFormat="1" applyFont="1" applyFill="1"/>
    <xf numFmtId="174" fontId="12" fillId="2" borderId="0" xfId="0" applyNumberFormat="1" applyFont="1" applyFill="1"/>
    <xf numFmtId="166" fontId="12" fillId="2" borderId="0" xfId="2" applyNumberFormat="1" applyFont="1" applyFill="1"/>
    <xf numFmtId="168" fontId="12" fillId="2" borderId="0" xfId="0" applyNumberFormat="1" applyFont="1" applyFill="1"/>
    <xf numFmtId="9" fontId="12" fillId="2" borderId="0" xfId="0" applyNumberFormat="1" applyFont="1" applyFill="1"/>
    <xf numFmtId="167" fontId="14" fillId="5" borderId="0" xfId="0" applyNumberFormat="1" applyFont="1" applyFill="1"/>
    <xf numFmtId="0" fontId="12" fillId="2" borderId="0" xfId="0" applyFont="1" applyFill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7" fillId="0" borderId="5" xfId="0" applyFont="1" applyBorder="1"/>
    <xf numFmtId="0" fontId="18" fillId="0" borderId="0" xfId="0" applyFont="1"/>
    <xf numFmtId="10" fontId="13" fillId="0" borderId="0" xfId="0" applyNumberFormat="1" applyFont="1"/>
    <xf numFmtId="3" fontId="13" fillId="0" borderId="0" xfId="0" applyNumberFormat="1" applyFont="1"/>
    <xf numFmtId="0" fontId="13" fillId="6" borderId="0" xfId="0" applyFont="1" applyFill="1"/>
    <xf numFmtId="0" fontId="11" fillId="6" borderId="0" xfId="0" applyFont="1" applyFill="1"/>
    <xf numFmtId="10" fontId="13" fillId="6" borderId="0" xfId="0" applyNumberFormat="1" applyFont="1" applyFill="1"/>
    <xf numFmtId="3" fontId="13" fillId="6" borderId="0" xfId="0" applyNumberFormat="1" applyFont="1" applyFill="1"/>
    <xf numFmtId="0" fontId="19" fillId="0" borderId="0" xfId="0" applyFont="1"/>
    <xf numFmtId="0" fontId="20" fillId="0" borderId="0" xfId="0" applyFont="1"/>
    <xf numFmtId="0" fontId="21" fillId="7" borderId="0" xfId="0" applyFont="1" applyFill="1"/>
    <xf numFmtId="0" fontId="24" fillId="0" borderId="0" xfId="0" applyFont="1"/>
    <xf numFmtId="1" fontId="22" fillId="0" borderId="0" xfId="0" applyNumberFormat="1" applyFont="1"/>
    <xf numFmtId="166" fontId="22" fillId="0" borderId="0" xfId="0" applyNumberFormat="1" applyFont="1"/>
    <xf numFmtId="165" fontId="22" fillId="0" borderId="0" xfId="0" applyNumberFormat="1" applyFont="1"/>
    <xf numFmtId="166" fontId="22" fillId="9" borderId="0" xfId="0" applyNumberFormat="1" applyFont="1" applyFill="1"/>
    <xf numFmtId="165" fontId="22" fillId="9" borderId="0" xfId="0" applyNumberFormat="1" applyFont="1" applyFill="1"/>
    <xf numFmtId="3" fontId="21" fillId="7" borderId="0" xfId="0" applyNumberFormat="1" applyFont="1" applyFill="1"/>
    <xf numFmtId="1" fontId="21" fillId="7" borderId="0" xfId="0" applyNumberFormat="1" applyFont="1" applyFill="1"/>
    <xf numFmtId="166" fontId="21" fillId="7" borderId="0" xfId="0" applyNumberFormat="1" applyFont="1" applyFill="1"/>
    <xf numFmtId="170" fontId="22" fillId="0" borderId="0" xfId="0" applyNumberFormat="1" applyFont="1"/>
    <xf numFmtId="170" fontId="23" fillId="0" borderId="0" xfId="0" applyNumberFormat="1" applyFont="1"/>
    <xf numFmtId="0" fontId="25" fillId="0" borderId="0" xfId="0" applyFont="1"/>
    <xf numFmtId="175" fontId="22" fillId="0" borderId="0" xfId="0" applyNumberFormat="1" applyFont="1"/>
    <xf numFmtId="166" fontId="0" fillId="0" borderId="0" xfId="0" applyNumberFormat="1"/>
    <xf numFmtId="0" fontId="27" fillId="8" borderId="0" xfId="0" applyFont="1" applyFill="1"/>
    <xf numFmtId="166" fontId="28" fillId="8" borderId="0" xfId="0" applyNumberFormat="1" applyFont="1" applyFill="1"/>
    <xf numFmtId="3" fontId="28" fillId="8" borderId="0" xfId="0" applyNumberFormat="1" applyFont="1" applyFill="1"/>
    <xf numFmtId="1" fontId="26" fillId="0" borderId="0" xfId="0" applyNumberFormat="1" applyFont="1"/>
    <xf numFmtId="170" fontId="26" fillId="0" borderId="0" xfId="0" applyNumberFormat="1" applyFont="1"/>
    <xf numFmtId="10" fontId="28" fillId="8" borderId="0" xfId="0" applyNumberFormat="1" applyFont="1" applyFill="1"/>
    <xf numFmtId="171" fontId="28" fillId="8" borderId="0" xfId="0" applyNumberFormat="1" applyFont="1" applyFill="1"/>
    <xf numFmtId="0" fontId="29" fillId="0" borderId="0" xfId="0" applyFont="1"/>
    <xf numFmtId="3" fontId="29" fillId="0" borderId="0" xfId="0" applyNumberFormat="1" applyFont="1"/>
    <xf numFmtId="166" fontId="30" fillId="0" borderId="0" xfId="0" applyNumberFormat="1" applyFont="1"/>
    <xf numFmtId="176" fontId="31" fillId="8" borderId="0" xfId="0" applyNumberFormat="1" applyFont="1" applyFill="1"/>
    <xf numFmtId="175" fontId="32" fillId="0" borderId="0" xfId="0" applyNumberFormat="1" applyFont="1"/>
    <xf numFmtId="175" fontId="32" fillId="9" borderId="0" xfId="0" applyNumberFormat="1" applyFont="1" applyFill="1"/>
    <xf numFmtId="0" fontId="21" fillId="10" borderId="0" xfId="0" applyFont="1" applyFill="1"/>
    <xf numFmtId="1" fontId="21" fillId="10" borderId="0" xfId="0" applyNumberFormat="1" applyFont="1" applyFill="1"/>
    <xf numFmtId="166" fontId="21" fillId="10" borderId="0" xfId="0" applyNumberFormat="1" applyFont="1" applyFill="1"/>
    <xf numFmtId="170" fontId="21" fillId="10" borderId="0" xfId="0" applyNumberFormat="1" applyFont="1" applyFill="1"/>
    <xf numFmtId="166" fontId="28" fillId="10" borderId="0" xfId="0" applyNumberFormat="1" applyFont="1" applyFill="1"/>
    <xf numFmtId="0" fontId="27" fillId="0" borderId="0" xfId="0" applyFont="1"/>
    <xf numFmtId="1" fontId="28" fillId="10" borderId="0" xfId="0" applyNumberFormat="1" applyFont="1" applyFill="1"/>
    <xf numFmtId="166" fontId="28" fillId="10" borderId="0" xfId="0" applyNumberFormat="1" applyFont="1" applyFill="1" applyAlignment="1">
      <alignment horizontal="right"/>
    </xf>
    <xf numFmtId="14" fontId="33" fillId="7" borderId="0" xfId="0" applyNumberFormat="1" applyFont="1" applyFill="1"/>
    <xf numFmtId="3" fontId="33" fillId="7" borderId="0" xfId="0" applyNumberFormat="1" applyFont="1" applyFill="1"/>
    <xf numFmtId="14" fontId="34" fillId="0" borderId="0" xfId="0" applyNumberFormat="1" applyFont="1"/>
    <xf numFmtId="3" fontId="34" fillId="0" borderId="0" xfId="0" applyNumberFormat="1" applyFont="1"/>
    <xf numFmtId="49" fontId="36" fillId="0" borderId="0" xfId="0" applyNumberFormat="1" applyFont="1"/>
    <xf numFmtId="14" fontId="36" fillId="0" borderId="0" xfId="0" applyNumberFormat="1" applyFont="1"/>
    <xf numFmtId="0" fontId="37" fillId="0" borderId="0" xfId="0" applyFont="1"/>
    <xf numFmtId="10" fontId="25" fillId="0" borderId="0" xfId="0" applyNumberFormat="1" applyFont="1"/>
    <xf numFmtId="177" fontId="36" fillId="0" borderId="0" xfId="0" applyNumberFormat="1" applyFont="1"/>
    <xf numFmtId="1" fontId="28" fillId="7" borderId="0" xfId="0" applyNumberFormat="1" applyFont="1" applyFill="1"/>
    <xf numFmtId="4" fontId="21" fillId="10" borderId="0" xfId="0" applyNumberFormat="1" applyFont="1" applyFill="1"/>
    <xf numFmtId="0" fontId="36" fillId="0" borderId="0" xfId="0" applyFont="1"/>
    <xf numFmtId="0" fontId="25" fillId="2" borderId="0" xfId="0" applyFont="1" applyFill="1"/>
    <xf numFmtId="4" fontId="13" fillId="0" borderId="0" xfId="0" applyNumberFormat="1" applyFont="1"/>
  </cellXfs>
  <cellStyles count="6">
    <cellStyle name="Comma" xfId="1" builtinId="3"/>
    <cellStyle name="Moeda 2" xfId="5" xr:uid="{00000000-0005-0000-0000-000005000000}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1">
    <dxf>
      <font>
        <color rgb="FFC8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Aux!$C$1</c:f>
              <c:strCache>
                <c:ptCount val="1"/>
                <c:pt idx="0">
                  <c:v>CDI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Aux!$A$2:$A$21</c:f>
              <c:numCache>
                <c:formatCode>0.0</c:formatCode>
                <c:ptCount val="20"/>
                <c:pt idx="0" formatCode="General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Aux!$C$2:$C$21</c:f>
              <c:numCache>
                <c:formatCode>0.00%</c:formatCode>
                <c:ptCount val="20"/>
                <c:pt idx="0">
                  <c:v>0.13961309011330567</c:v>
                </c:pt>
                <c:pt idx="1">
                  <c:v>0.14089013278808435</c:v>
                </c:pt>
                <c:pt idx="2">
                  <c:v>0.14225594369784628</c:v>
                </c:pt>
                <c:pt idx="3">
                  <c:v>0.14332841169569896</c:v>
                </c:pt>
                <c:pt idx="4">
                  <c:v>0.14407867175342676</c:v>
                </c:pt>
                <c:pt idx="5">
                  <c:v>0.14455783488392812</c:v>
                </c:pt>
                <c:pt idx="6">
                  <c:v>0.14482541543425476</c:v>
                </c:pt>
                <c:pt idx="7">
                  <c:v>0.14493278512834643</c:v>
                </c:pt>
                <c:pt idx="8">
                  <c:v>0.14492104509101961</c:v>
                </c:pt>
                <c:pt idx="9">
                  <c:v>0.14482227168170331</c:v>
                </c:pt>
                <c:pt idx="10">
                  <c:v>0.14466125050754933</c:v>
                </c:pt>
                <c:pt idx="11">
                  <c:v>0.14445702133180005</c:v>
                </c:pt>
                <c:pt idx="12">
                  <c:v>0.14422412993401149</c:v>
                </c:pt>
                <c:pt idx="13">
                  <c:v>0.14397361666831443</c:v>
                </c:pt>
                <c:pt idx="14">
                  <c:v>0.14371379219336117</c:v>
                </c:pt>
                <c:pt idx="15">
                  <c:v>0.1434508456877546</c:v>
                </c:pt>
                <c:pt idx="16">
                  <c:v>0.1431893218507321</c:v>
                </c:pt>
                <c:pt idx="17">
                  <c:v>0.14293249501629132</c:v>
                </c:pt>
                <c:pt idx="18">
                  <c:v>0.14268266243253491</c:v>
                </c:pt>
                <c:pt idx="19">
                  <c:v>0.14244137393154879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1-4162-BF4A-3E283C006B65}"/>
            </c:ext>
          </c:extLst>
        </c:ser>
        <c:ser>
          <c:idx val="1"/>
          <c:order val="1"/>
          <c:tx>
            <c:strRef>
              <c:f>Aux!$D$1</c:f>
              <c:strCache>
                <c:ptCount val="1"/>
                <c:pt idx="0">
                  <c:v>Inflação Implicita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Aux!$A$2:$A$21</c:f>
              <c:numCache>
                <c:formatCode>0.0</c:formatCode>
                <c:ptCount val="20"/>
                <c:pt idx="0" formatCode="General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</c:numCache>
            </c:numRef>
          </c:cat>
          <c:val>
            <c:numRef>
              <c:f>Aux!$D$2:$D$21</c:f>
              <c:numCache>
                <c:formatCode>0.00%</c:formatCode>
                <c:ptCount val="20"/>
                <c:pt idx="0">
                  <c:v>4.3180361662807254E-2</c:v>
                </c:pt>
                <c:pt idx="1">
                  <c:v>4.9674549740525986E-2</c:v>
                </c:pt>
                <c:pt idx="2">
                  <c:v>5.1096055507184435E-2</c:v>
                </c:pt>
                <c:pt idx="3">
                  <c:v>5.1608039243906445E-2</c:v>
                </c:pt>
                <c:pt idx="4">
                  <c:v>5.2021197165045718E-2</c:v>
                </c:pt>
                <c:pt idx="5">
                  <c:v>5.2482144104239792E-2</c:v>
                </c:pt>
                <c:pt idx="6">
                  <c:v>5.2999070765755496E-2</c:v>
                </c:pt>
                <c:pt idx="7">
                  <c:v>5.3552246155559757E-2</c:v>
                </c:pt>
                <c:pt idx="8">
                  <c:v>5.4119734725820434E-2</c:v>
                </c:pt>
                <c:pt idx="9">
                  <c:v>5.4683557946270334E-2</c:v>
                </c:pt>
                <c:pt idx="10">
                  <c:v>5.5230653211925773E-2</c:v>
                </c:pt>
                <c:pt idx="11">
                  <c:v>5.5752341781423853E-2</c:v>
                </c:pt>
                <c:pt idx="12">
                  <c:v>5.6243435809851361E-2</c:v>
                </c:pt>
                <c:pt idx="13">
                  <c:v>5.6701360526629774E-2</c:v>
                </c:pt>
                <c:pt idx="14">
                  <c:v>5.7125409434896968E-2</c:v>
                </c:pt>
                <c:pt idx="15">
                  <c:v>5.7516154461577207E-2</c:v>
                </c:pt>
                <c:pt idx="16">
                  <c:v>5.7874997914020287E-2</c:v>
                </c:pt>
                <c:pt idx="17">
                  <c:v>5.8203842455611277E-2</c:v>
                </c:pt>
                <c:pt idx="18">
                  <c:v>5.8504854487424929E-2</c:v>
                </c:pt>
                <c:pt idx="19">
                  <c:v>5.8780299138284864E-2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61-4162-BF4A-3E283C006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703168"/>
        <c:axId val="349698368"/>
      </c:lineChart>
      <c:catAx>
        <c:axId val="349703168"/>
        <c:scaling>
          <c:orientation val="minMax"/>
        </c:scaling>
        <c:delete val="0"/>
        <c:axPos val="b"/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9698368"/>
        <c:crosses val="autoZero"/>
        <c:auto val="1"/>
        <c:lblAlgn val="ctr"/>
        <c:lblOffset val="100"/>
        <c:noMultiLvlLbl val="0"/>
      </c:catAx>
      <c:valAx>
        <c:axId val="34969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97031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438150</xdr:colOff>
          <xdr:row>57</xdr:row>
          <xdr:rowOff>44450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7E651028-CE64-BBA4-3D9A-4D1D95646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resolver preço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365760</xdr:colOff>
      <xdr:row>14</xdr:row>
      <xdr:rowOff>3810</xdr:rowOff>
    </xdr:from>
    <xdr:to>
      <xdr:col>13</xdr:col>
      <xdr:colOff>487680</xdr:colOff>
      <xdr:row>29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304800</xdr:colOff>
          <xdr:row>2</xdr:row>
          <xdr:rowOff>171450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42A6F769-361B-66B6-2AB1-9D325B25AE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 ETTJ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1"/>
  <dimension ref="B1:R58"/>
  <sheetViews>
    <sheetView showGridLines="0" tabSelected="1" workbookViewId="0">
      <selection activeCell="C51" sqref="C51"/>
    </sheetView>
  </sheetViews>
  <sheetFormatPr defaultRowHeight="14.5" x14ac:dyDescent="0.35"/>
  <cols>
    <col min="2" max="2" width="30" customWidth="1"/>
    <col min="3" max="3" width="14.453125" customWidth="1"/>
    <col min="4" max="4" width="13.7265625" bestFit="1" customWidth="1"/>
    <col min="5" max="5" width="8.26953125" customWidth="1"/>
    <col min="6" max="6" width="26.7265625" customWidth="1"/>
    <col min="7" max="7" width="15.1796875" customWidth="1"/>
    <col min="8" max="8" width="5.7265625" customWidth="1"/>
    <col min="9" max="9" width="6" customWidth="1"/>
    <col min="10" max="10" width="12.54296875" customWidth="1"/>
    <col min="11" max="15" width="11.7265625" customWidth="1"/>
    <col min="16" max="16" width="6.26953125" customWidth="1"/>
    <col min="17" max="17" width="9" customWidth="1"/>
  </cols>
  <sheetData>
    <row r="1" spans="2:18" ht="19.5" x14ac:dyDescent="0.45">
      <c r="B1" s="80" t="s">
        <v>0</v>
      </c>
    </row>
    <row r="2" spans="2:18" x14ac:dyDescent="0.35">
      <c r="B2" s="94" t="s">
        <v>165</v>
      </c>
      <c r="C2" s="122"/>
      <c r="F2" s="94" t="s">
        <v>166</v>
      </c>
      <c r="G2" s="123">
        <f ca="1">TODAY()</f>
        <v>46207</v>
      </c>
    </row>
    <row r="3" spans="2:18" x14ac:dyDescent="0.35">
      <c r="B3" s="45" t="s">
        <v>1</v>
      </c>
      <c r="C3" s="46"/>
      <c r="F3" s="45" t="s">
        <v>2</v>
      </c>
      <c r="G3" s="46"/>
      <c r="J3" s="45" t="s">
        <v>3</v>
      </c>
      <c r="K3" s="46"/>
      <c r="L3" s="46"/>
      <c r="M3" s="46"/>
      <c r="N3" s="46"/>
      <c r="O3" s="46"/>
      <c r="P3" s="46"/>
      <c r="Q3" s="46"/>
      <c r="R3" s="46"/>
    </row>
    <row r="4" spans="2:18" x14ac:dyDescent="0.35">
      <c r="B4" s="81" t="s">
        <v>4</v>
      </c>
      <c r="C4" s="110" t="s">
        <v>12</v>
      </c>
      <c r="F4" s="97" t="s">
        <v>6</v>
      </c>
      <c r="G4" s="98" t="str">
        <f>IF(OR(in_face&lt;=0,Motor!$C$34&lt;=0),"—",Motor!C42)</f>
        <v>—</v>
      </c>
      <c r="J4" s="104" t="s">
        <v>152</v>
      </c>
      <c r="M4" s="73"/>
      <c r="Q4" s="104" t="s">
        <v>7</v>
      </c>
    </row>
    <row r="5" spans="2:18" x14ac:dyDescent="0.35">
      <c r="B5" s="81" t="s">
        <v>8</v>
      </c>
      <c r="C5" s="110" t="s">
        <v>178</v>
      </c>
      <c r="F5" s="97" t="s">
        <v>155</v>
      </c>
      <c r="G5" s="102" t="str">
        <f>IF(OR(in_face&lt;=0,Motor!$C$34&lt;=0),"—",IFERROR((SUMPRODUCT((((in_e_precatorio="Sim")+(Motor!$E$2:$FK$2&gt;vira_data))&gt;0)*(Motor!$E$2:$FK$2&lt;=bullet_data)*Motor!$E$8:$FK$8*Motor!$E$3:$FK$3/365))/(SUMPRODUCT((((in_e_precatorio="Sim")+(Motor!$E$2:$FK$2&gt;vira_data))&gt;0)*(Motor!$E$2:$FK$2&lt;=bullet_data)*Motor!$E$3:$FK$3/365)),0)+in_corr_prec_spread)</f>
        <v>—</v>
      </c>
      <c r="J5" s="104" t="s">
        <v>153</v>
      </c>
      <c r="K5" s="105">
        <f>in_valor_pagar*Sensibilidades!$C$11</f>
        <v>0</v>
      </c>
      <c r="L5" s="105">
        <f>in_valor_pagar*Sensibilidades!$D$11</f>
        <v>0</v>
      </c>
      <c r="M5" s="105">
        <f>in_valor_pagar*Sensibilidades!$E$11</f>
        <v>0</v>
      </c>
      <c r="N5" s="105">
        <f>in_valor_pagar*Sensibilidades!$F$11</f>
        <v>0</v>
      </c>
      <c r="O5" s="105">
        <f>in_valor_pagar*Sensibilidades!$G$11</f>
        <v>0</v>
      </c>
      <c r="Q5" s="104" t="s">
        <v>10</v>
      </c>
      <c r="R5" s="104" t="s">
        <v>6</v>
      </c>
    </row>
    <row r="6" spans="2:18" x14ac:dyDescent="0.35">
      <c r="B6" s="81" t="s">
        <v>11</v>
      </c>
      <c r="C6" s="110" t="s">
        <v>5</v>
      </c>
      <c r="F6" s="97" t="s">
        <v>156</v>
      </c>
      <c r="G6" s="98" t="str">
        <f>IF(OR(in_face&lt;=0,Motor!$C$34&lt;=0),"—",IFERROR((in_face*IF(in_acordo="Sim",in_acordo_fator,1)/G7)^(365/(bullet_data-EOMONTH(in_data_inicio,0)))-1,0))</f>
        <v>—</v>
      </c>
      <c r="J6" s="108">
        <f>Sensibilidades!$B$12</f>
        <v>10</v>
      </c>
      <c r="K6" s="106" t="e">
        <f>Sensibilidades!$C$12</f>
        <v>#NUM!</v>
      </c>
      <c r="L6" s="96" t="e">
        <f>Sensibilidades!$D$12</f>
        <v>#NUM!</v>
      </c>
      <c r="M6" s="87" t="e">
        <f>Sensibilidades!$E$12</f>
        <v>#NUM!</v>
      </c>
      <c r="N6" s="106" t="e">
        <f>Sensibilidades!$F$12</f>
        <v>#NUM!</v>
      </c>
      <c r="O6" s="96" t="e">
        <f>Sensibilidades!$G$12</f>
        <v>#NUM!</v>
      </c>
      <c r="Q6" s="86">
        <f>Sensibilidades!B32</f>
        <v>0</v>
      </c>
      <c r="R6" s="85" t="e">
        <f>Sensibilidades!C32</f>
        <v>#NUM!</v>
      </c>
    </row>
    <row r="7" spans="2:18" x14ac:dyDescent="0.35">
      <c r="B7" s="81" t="s">
        <v>13</v>
      </c>
      <c r="C7" s="110" t="s">
        <v>12</v>
      </c>
      <c r="F7" s="97" t="s">
        <v>9</v>
      </c>
      <c r="G7" s="99">
        <f>Motor!C34</f>
        <v>0</v>
      </c>
      <c r="J7" s="108">
        <f>Sensibilidades!$B$13</f>
        <v>14</v>
      </c>
      <c r="K7" s="106" t="e">
        <f>Sensibilidades!$C$13</f>
        <v>#NUM!</v>
      </c>
      <c r="L7" s="96" t="e">
        <f>Sensibilidades!$D$13</f>
        <v>#NUM!</v>
      </c>
      <c r="M7" s="87" t="e">
        <f>Sensibilidades!$E$13</f>
        <v>#NUM!</v>
      </c>
      <c r="N7" s="106" t="e">
        <f>Sensibilidades!$F$13</f>
        <v>#NUM!</v>
      </c>
      <c r="O7" s="96" t="e">
        <f>Sensibilidades!$G$13</f>
        <v>#NUM!</v>
      </c>
      <c r="Q7" s="86">
        <f>Sensibilidades!B33</f>
        <v>0.5</v>
      </c>
      <c r="R7" s="85" t="e">
        <f>Sensibilidades!C33</f>
        <v>#NUM!</v>
      </c>
    </row>
    <row r="8" spans="2:18" x14ac:dyDescent="0.35">
      <c r="F8" s="97" t="s">
        <v>162</v>
      </c>
      <c r="G8" s="98" t="str">
        <f>IFERROR(G7/in_face,"-")</f>
        <v>-</v>
      </c>
      <c r="J8" s="109">
        <f>Sensibilidades!$B$14</f>
        <v>18</v>
      </c>
      <c r="K8" s="87" t="e">
        <f>Sensibilidades!$C$14</f>
        <v>#NUM!</v>
      </c>
      <c r="L8" s="87" t="e">
        <f>Sensibilidades!$D$14</f>
        <v>#NUM!</v>
      </c>
      <c r="M8" s="87" t="e">
        <f>Sensibilidades!$E$14</f>
        <v>#NUM!</v>
      </c>
      <c r="N8" s="87" t="e">
        <f>Sensibilidades!$F$14</f>
        <v>#NUM!</v>
      </c>
      <c r="O8" s="87" t="e">
        <f>Sensibilidades!$G$14</f>
        <v>#NUM!</v>
      </c>
      <c r="Q8" s="88">
        <f>Sensibilidades!B34</f>
        <v>1</v>
      </c>
      <c r="R8" s="87" t="e">
        <f>Sensibilidades!C34</f>
        <v>#NUM!</v>
      </c>
    </row>
    <row r="9" spans="2:18" x14ac:dyDescent="0.35">
      <c r="B9" s="45" t="str">
        <f>IF(in_e_precatorio="Sim","PRECATÓRIO","DIREITO CREDITÓRIO")</f>
        <v>PRECATÓRIO</v>
      </c>
      <c r="C9" s="46"/>
      <c r="F9" s="97" t="s">
        <v>14</v>
      </c>
      <c r="G9" s="103" t="str">
        <f>IFERROR(1+SUM(Motor!$E$42:$FK$42)/G7,"-")</f>
        <v>-</v>
      </c>
      <c r="J9" s="108">
        <f>Sensibilidades!$B$15</f>
        <v>22</v>
      </c>
      <c r="K9" s="106" t="e">
        <f>Sensibilidades!$C$15</f>
        <v>#NUM!</v>
      </c>
      <c r="L9" s="96" t="e">
        <f>Sensibilidades!$D$15</f>
        <v>#NUM!</v>
      </c>
      <c r="M9" s="87" t="e">
        <f>Sensibilidades!$E$15</f>
        <v>#NUM!</v>
      </c>
      <c r="N9" s="106" t="e">
        <f>Sensibilidades!$F$15</f>
        <v>#NUM!</v>
      </c>
      <c r="O9" s="96" t="e">
        <f>Sensibilidades!$G$15</f>
        <v>#NUM!</v>
      </c>
      <c r="Q9" s="86">
        <f>Sensibilidades!B35</f>
        <v>1.5</v>
      </c>
      <c r="R9" s="85" t="e">
        <f>Sensibilidades!C35</f>
        <v>#NUM!</v>
      </c>
    </row>
    <row r="10" spans="2:18" x14ac:dyDescent="0.35">
      <c r="B10" s="81" t="s">
        <v>181</v>
      </c>
      <c r="C10" s="128"/>
      <c r="F10" s="97" t="s">
        <v>15</v>
      </c>
      <c r="G10" s="107">
        <f>bullet_data</f>
        <v>46752</v>
      </c>
      <c r="J10" s="108">
        <f>Sensibilidades!$B$16</f>
        <v>26</v>
      </c>
      <c r="K10" s="106" t="e">
        <f>Sensibilidades!$C$16</f>
        <v>#NUM!</v>
      </c>
      <c r="L10" s="96" t="e">
        <f>Sensibilidades!$D$16</f>
        <v>#NUM!</v>
      </c>
      <c r="M10" s="87" t="e">
        <f>Sensibilidades!$E$16</f>
        <v>#NUM!</v>
      </c>
      <c r="N10" s="106" t="e">
        <f>Sensibilidades!$F$16</f>
        <v>#NUM!</v>
      </c>
      <c r="O10" s="96" t="e">
        <f>Sensibilidades!$G$16</f>
        <v>#NUM!</v>
      </c>
      <c r="Q10" s="86">
        <f>Sensibilidades!B36</f>
        <v>2</v>
      </c>
      <c r="R10" s="85" t="e">
        <f>Sensibilidades!C36</f>
        <v>#NUM!</v>
      </c>
    </row>
    <row r="11" spans="2:18" x14ac:dyDescent="0.35">
      <c r="B11" s="81" t="str">
        <f>IF(in_e_precatorio="Sim","Valor requisitado (R$)","Valor da causa (R$)")</f>
        <v>Valor requisitado (R$)</v>
      </c>
      <c r="C11" s="111"/>
      <c r="F11" s="94"/>
      <c r="G11" s="101"/>
      <c r="J11" s="95"/>
      <c r="K11" s="85"/>
      <c r="L11" s="96"/>
      <c r="M11" s="85"/>
      <c r="N11" s="85"/>
      <c r="O11" s="96"/>
      <c r="P11" s="86"/>
      <c r="Q11" s="85"/>
    </row>
    <row r="12" spans="2:18" x14ac:dyDescent="0.35">
      <c r="B12" s="81" t="s">
        <v>16</v>
      </c>
      <c r="C12" s="111"/>
      <c r="F12" s="47"/>
      <c r="G12" s="100"/>
      <c r="J12" s="84"/>
      <c r="K12" s="85"/>
    </row>
    <row r="13" spans="2:18" x14ac:dyDescent="0.35">
      <c r="B13" s="81" t="s">
        <v>17</v>
      </c>
      <c r="C13" s="127" t="s">
        <v>18</v>
      </c>
      <c r="F13" s="94"/>
      <c r="G13" s="101"/>
    </row>
    <row r="14" spans="2:18" x14ac:dyDescent="0.35">
      <c r="B14" s="81" t="s">
        <v>19</v>
      </c>
      <c r="C14" s="112">
        <v>0.02</v>
      </c>
      <c r="F14" s="45" t="s">
        <v>142</v>
      </c>
      <c r="G14" s="46"/>
    </row>
    <row r="15" spans="2:18" x14ac:dyDescent="0.35">
      <c r="B15" t="s">
        <v>139</v>
      </c>
      <c r="C15" s="113">
        <f>Aux!$G$11</f>
        <v>46197</v>
      </c>
      <c r="F15" s="97" t="s">
        <v>163</v>
      </c>
      <c r="G15" s="99">
        <f>in_face</f>
        <v>0</v>
      </c>
    </row>
    <row r="16" spans="2:18" x14ac:dyDescent="0.35">
      <c r="B16" s="45" t="s">
        <v>20</v>
      </c>
      <c r="C16" s="46"/>
      <c r="F16" s="97" t="s">
        <v>143</v>
      </c>
      <c r="G16" s="99">
        <f>SUM(Motor!$E$27:$FK$27)</f>
        <v>0</v>
      </c>
    </row>
    <row r="17" spans="2:7" x14ac:dyDescent="0.35">
      <c r="B17" s="81" t="s">
        <v>21</v>
      </c>
      <c r="C17" s="92">
        <f>Aux!G11</f>
        <v>46197</v>
      </c>
      <c r="F17" s="97" t="s">
        <v>164</v>
      </c>
      <c r="G17" s="99">
        <f>G15+G16</f>
        <v>0</v>
      </c>
    </row>
    <row r="18" spans="2:7" x14ac:dyDescent="0.35">
      <c r="B18" s="81" t="s">
        <v>22</v>
      </c>
      <c r="C18" s="93">
        <f>EOMONTH(in_data_inicio,IF(in_e_precatorio="Sim",0,in_vira_meses))</f>
        <v>46203</v>
      </c>
      <c r="F18" s="97" t="s">
        <v>144</v>
      </c>
      <c r="G18" s="98">
        <f>IF(in_acordo="Sim",in_acordo_fator,"—")</f>
        <v>0.6</v>
      </c>
    </row>
    <row r="19" spans="2:7" x14ac:dyDescent="0.35">
      <c r="B19" s="81" t="s">
        <v>23</v>
      </c>
      <c r="C19" s="93">
        <f>EOMONTH(vira_data,IF(in_acordo="Sim",in_acordo_prazo,in_prazo))</f>
        <v>46752</v>
      </c>
      <c r="F19" s="97" t="s">
        <v>145</v>
      </c>
      <c r="G19" s="99">
        <f>SUM(Motor!$E$63:$FK$63)+SUM(Motor!$E$64:$FK$64)</f>
        <v>0</v>
      </c>
    </row>
    <row r="20" spans="2:7" hidden="1" x14ac:dyDescent="0.35">
      <c r="B20" s="94" t="s">
        <v>180</v>
      </c>
      <c r="C20" s="131">
        <f>Motor!C31</f>
        <v>0</v>
      </c>
      <c r="F20" s="97"/>
      <c r="G20" s="99"/>
    </row>
    <row r="21" spans="2:7" hidden="1" x14ac:dyDescent="0.35">
      <c r="B21" s="81" t="s">
        <v>24</v>
      </c>
      <c r="C21" s="111">
        <v>72</v>
      </c>
      <c r="F21" s="97"/>
      <c r="G21" s="99"/>
    </row>
    <row r="22" spans="2:7" hidden="1" x14ac:dyDescent="0.35">
      <c r="B22" s="115" t="s">
        <v>167</v>
      </c>
      <c r="C22" s="127" t="s">
        <v>41</v>
      </c>
      <c r="F22" s="97" t="s">
        <v>146</v>
      </c>
      <c r="G22" s="99">
        <f>IF(in_acordo="Sim",G17*in_acordo_fator,G17)-G19</f>
        <v>0</v>
      </c>
    </row>
    <row r="23" spans="2:7" hidden="1" x14ac:dyDescent="0.35">
      <c r="B23" s="94" t="s">
        <v>169</v>
      </c>
      <c r="C23" s="112">
        <v>0.08</v>
      </c>
      <c r="F23" s="97" t="s">
        <v>147</v>
      </c>
      <c r="G23" s="99">
        <f>Motor!C34</f>
        <v>0</v>
      </c>
    </row>
    <row r="24" spans="2:7" hidden="1" x14ac:dyDescent="0.35">
      <c r="B24" s="45" t="s">
        <v>90</v>
      </c>
      <c r="C24" s="112"/>
    </row>
    <row r="25" spans="2:7" x14ac:dyDescent="0.35">
      <c r="B25" s="104" t="s">
        <v>140</v>
      </c>
      <c r="C25" s="128"/>
      <c r="D25" s="124"/>
    </row>
    <row r="26" spans="2:7" hidden="1" x14ac:dyDescent="0.35">
      <c r="B26" s="81" t="s">
        <v>141</v>
      </c>
      <c r="C26" s="110">
        <v>1</v>
      </c>
    </row>
    <row r="27" spans="2:7" hidden="1" x14ac:dyDescent="0.35">
      <c r="B27" s="118"/>
      <c r="C27" s="119"/>
      <c r="D27" s="126" t="str">
        <f>IF(COUNT(parc_valor)=0,"",SUM(parc_valor))</f>
        <v/>
      </c>
    </row>
    <row r="28" spans="2:7" hidden="1" x14ac:dyDescent="0.35">
      <c r="B28" s="118"/>
      <c r="C28" s="119"/>
    </row>
    <row r="29" spans="2:7" hidden="1" x14ac:dyDescent="0.35">
      <c r="B29" s="118"/>
      <c r="C29" s="119"/>
    </row>
    <row r="30" spans="2:7" hidden="1" x14ac:dyDescent="0.35">
      <c r="B30" s="118"/>
      <c r="C30" s="119"/>
    </row>
    <row r="31" spans="2:7" hidden="1" x14ac:dyDescent="0.35">
      <c r="B31" s="118"/>
      <c r="C31" s="119"/>
    </row>
    <row r="32" spans="2:7" hidden="1" x14ac:dyDescent="0.35">
      <c r="B32" s="118"/>
      <c r="C32" s="119"/>
    </row>
    <row r="33" spans="2:7" hidden="1" x14ac:dyDescent="0.35">
      <c r="B33" s="118"/>
      <c r="C33" s="119"/>
    </row>
    <row r="34" spans="2:7" hidden="1" x14ac:dyDescent="0.35">
      <c r="B34" s="118"/>
      <c r="C34" s="119"/>
    </row>
    <row r="35" spans="2:7" hidden="1" x14ac:dyDescent="0.35">
      <c r="B35" s="118"/>
      <c r="C35" s="119"/>
    </row>
    <row r="36" spans="2:7" hidden="1" x14ac:dyDescent="0.35">
      <c r="B36" s="120"/>
      <c r="C36" s="121"/>
    </row>
    <row r="37" spans="2:7" hidden="1" x14ac:dyDescent="0.35">
      <c r="B37" s="45" t="s">
        <v>26</v>
      </c>
      <c r="C37" s="46"/>
    </row>
    <row r="38" spans="2:7" hidden="1" x14ac:dyDescent="0.35">
      <c r="B38" s="81" t="s">
        <v>27</v>
      </c>
      <c r="C38" s="82" t="s">
        <v>28</v>
      </c>
      <c r="F38" s="94" t="s">
        <v>177</v>
      </c>
      <c r="G38" s="129" t="str">
        <f>IF(eo_zera_npos=0,"Nasce zerado",IF(eo_zera_npos&gt;=eo_zera_ncols,"Não zera no horizonte",TEXT(eo_zera_data,"mm/aaaa")))</f>
        <v>Nasce zerado</v>
      </c>
    </row>
    <row r="39" spans="2:7" hidden="1" x14ac:dyDescent="0.35">
      <c r="B39" s="81" t="s">
        <v>29</v>
      </c>
      <c r="C39" s="91">
        <v>0.15</v>
      </c>
    </row>
    <row r="40" spans="2:7" hidden="1" x14ac:dyDescent="0.35">
      <c r="B40" s="81" t="s">
        <v>30</v>
      </c>
      <c r="C40" s="89">
        <v>0</v>
      </c>
    </row>
    <row r="41" spans="2:7" hidden="1" x14ac:dyDescent="0.35">
      <c r="B41" s="81" t="s">
        <v>31</v>
      </c>
      <c r="C41" s="90">
        <v>18</v>
      </c>
    </row>
    <row r="42" spans="2:7" hidden="1" x14ac:dyDescent="0.35">
      <c r="B42" s="83" t="s">
        <v>32</v>
      </c>
      <c r="C42" s="83" t="s">
        <v>33</v>
      </c>
      <c r="D42" s="83" t="s">
        <v>34</v>
      </c>
    </row>
    <row r="43" spans="2:7" hidden="1" x14ac:dyDescent="0.35">
      <c r="B43" s="90">
        <v>0</v>
      </c>
      <c r="C43" s="90">
        <v>12</v>
      </c>
      <c r="D43" s="91">
        <v>0.7</v>
      </c>
    </row>
    <row r="44" spans="2:7" hidden="1" x14ac:dyDescent="0.35">
      <c r="B44" s="90">
        <v>13</v>
      </c>
      <c r="C44" s="90">
        <v>24</v>
      </c>
      <c r="D44" s="91">
        <v>0.7</v>
      </c>
    </row>
    <row r="45" spans="2:7" hidden="1" x14ac:dyDescent="0.35">
      <c r="B45" s="90">
        <v>25</v>
      </c>
      <c r="C45" s="90">
        <v>31</v>
      </c>
      <c r="D45" s="91">
        <v>0.7</v>
      </c>
    </row>
    <row r="46" spans="2:7" hidden="1" x14ac:dyDescent="0.35">
      <c r="B46" s="90">
        <v>32</v>
      </c>
      <c r="C46" s="90">
        <v>10000</v>
      </c>
      <c r="D46" s="91">
        <v>0.7</v>
      </c>
    </row>
    <row r="47" spans="2:7" hidden="1" x14ac:dyDescent="0.35">
      <c r="B47" s="90"/>
      <c r="C47" s="90"/>
      <c r="D47" s="91"/>
    </row>
    <row r="48" spans="2:7" hidden="1" x14ac:dyDescent="0.35">
      <c r="B48" s="90"/>
      <c r="C48" s="90"/>
      <c r="D48" s="91"/>
    </row>
    <row r="50" spans="2:3" x14ac:dyDescent="0.35">
      <c r="B50" s="45" t="s">
        <v>35</v>
      </c>
      <c r="C50" s="46"/>
    </row>
    <row r="51" spans="2:3" x14ac:dyDescent="0.35">
      <c r="B51" s="115" t="s">
        <v>36</v>
      </c>
      <c r="C51" s="114">
        <v>0.6</v>
      </c>
    </row>
    <row r="52" spans="2:3" x14ac:dyDescent="0.35">
      <c r="B52" s="115" t="s">
        <v>37</v>
      </c>
      <c r="C52" s="116">
        <v>18</v>
      </c>
    </row>
    <row r="54" spans="2:3" x14ac:dyDescent="0.35">
      <c r="B54" s="45" t="s">
        <v>157</v>
      </c>
      <c r="C54" s="46"/>
    </row>
    <row r="55" spans="2:3" x14ac:dyDescent="0.35">
      <c r="B55" s="115" t="s">
        <v>158</v>
      </c>
      <c r="C55" s="117" t="s">
        <v>159</v>
      </c>
    </row>
    <row r="56" spans="2:3" x14ac:dyDescent="0.35">
      <c r="B56" s="115" t="s">
        <v>160</v>
      </c>
      <c r="C56" s="114">
        <v>0</v>
      </c>
    </row>
    <row r="57" spans="2:3" x14ac:dyDescent="0.35">
      <c r="B57" s="115" t="s">
        <v>161</v>
      </c>
      <c r="C57" s="114">
        <v>0</v>
      </c>
    </row>
    <row r="58" spans="2:3" x14ac:dyDescent="0.35">
      <c r="B58" s="94" t="s">
        <v>168</v>
      </c>
      <c r="C58" s="125" t="str">
        <f>IFERROR(G5-in_corr_prec_spread,"—")</f>
        <v>—</v>
      </c>
    </row>
  </sheetData>
  <conditionalFormatting sqref="D27">
    <cfRule type="expression" dxfId="0" priority="1" stopIfTrue="1">
      <formula>AND(COUNT(parc_valor)&gt;0,ROUND(SUM(parc_valor),2)&lt;&gt;ROUND(in_valor_pagar,2))</formula>
    </cfRule>
  </conditionalFormatting>
  <dataValidations count="6">
    <dataValidation type="list" sqref="C4 C6 C7" xr:uid="{00000000-0002-0000-0000-000000000000}">
      <formula1>"Não,Sim"</formula1>
    </dataValidation>
    <dataValidation type="list" sqref="C5" xr:uid="{00000000-0002-0000-0000-000001000000}">
      <formula1>"À vista,Parcelado"</formula1>
    </dataValidation>
    <dataValidation type="list" sqref="C38" xr:uid="{00000000-0002-0000-0000-000002000000}">
      <formula1>"Pré,IPCA,CDI"</formula1>
    </dataValidation>
    <dataValidation type="list" allowBlank="1" showInputMessage="1" showErrorMessage="1" sqref="C13" xr:uid="{0D580574-6732-4F98-87A4-B23649BE8BF4}">
      <formula1>"IPCA"</formula1>
    </dataValidation>
    <dataValidation type="list" allowBlank="1" showInputMessage="1" showErrorMessage="1" sqref="C22" xr:uid="{3FE6F478-F3EF-4519-B710-DD70F35D8439}">
      <formula1>"Pré,IPCA,CDI"</formula1>
    </dataValidation>
    <dataValidation type="list" allowBlank="1" showInputMessage="1" showErrorMessage="1" sqref="C55" xr:uid="{7539FDD5-0A20-47C7-A9FE-E4D2609A681B}">
      <formula1>"ETTJ,Manual"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" r:id="rId3" name="Button 30">
              <controlPr defaultSize="0" print="0" autoFill="0" autoPict="0" macro="ResolverPrecoTIR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438150</xdr:colOff>
                    <xdr:row>57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S22"/>
  <sheetViews>
    <sheetView showGridLines="0" workbookViewId="0">
      <selection activeCell="G11" sqref="G11"/>
    </sheetView>
  </sheetViews>
  <sheetFormatPr defaultRowHeight="14.5" x14ac:dyDescent="0.35"/>
  <cols>
    <col min="7" max="7" width="10.26953125" bestFit="1" customWidth="1"/>
    <col min="8" max="8" width="15.26953125" bestFit="1" customWidth="1"/>
    <col min="9" max="9" width="14.1796875" bestFit="1" customWidth="1"/>
    <col min="18" max="18" width="10.453125" bestFit="1" customWidth="1"/>
  </cols>
  <sheetData>
    <row r="1" spans="1:19" x14ac:dyDescent="0.35">
      <c r="B1" t="s">
        <v>38</v>
      </c>
      <c r="C1" t="s">
        <v>28</v>
      </c>
      <c r="D1" t="s">
        <v>39</v>
      </c>
      <c r="N1" t="s">
        <v>40</v>
      </c>
      <c r="P1" t="s">
        <v>41</v>
      </c>
      <c r="R1" t="s">
        <v>42</v>
      </c>
      <c r="S1">
        <v>1</v>
      </c>
    </row>
    <row r="2" spans="1:19" x14ac:dyDescent="0.35">
      <c r="A2">
        <v>0.5</v>
      </c>
      <c r="B2" s="1">
        <f t="shared" ref="B2:B21" si="0">$H$3+ $H$4* ((1 - EXP(-$H$7 * $A2)) / ($H$7 * $A2)) + $H$5 * ((1 - EXP(-$H$7 * $A2)) / ($H$7 * $A2) - EXP(-$H$7 * $A2)) + $H$6* ((1 - EXP(-$H$8 * $A2)) / ($H$8 * $A2) - EXP(-$H$8 * $A2))</f>
        <v>9.2441088803461219E-2</v>
      </c>
      <c r="C2" s="1">
        <f t="shared" ref="C2:C21" si="1">$I$3+ $I$4* ((1 - EXP(-$I$7 * $A2)) / ($I$7 * $A2)) + $I$5 * ((1 - EXP(-$I$7 * $A2)) / ($I$7 * $A2) - EXP(-$I$7 * $A2)) + $I$6* ((1 - EXP(-$I$8 * $A2)) / ($I$8 * $A2) - EXP(-$I$8 * $A2))</f>
        <v>0.13961309011330567</v>
      </c>
      <c r="D2" s="7">
        <f t="shared" ref="D2:D21" si="2">(1+C2)/(1+B2)-1</f>
        <v>4.3180361662807254E-2</v>
      </c>
      <c r="G2" s="4">
        <f>G11</f>
        <v>46197</v>
      </c>
      <c r="H2" s="2" t="s">
        <v>43</v>
      </c>
      <c r="I2" s="2" t="s">
        <v>44</v>
      </c>
      <c r="N2" t="s">
        <v>45</v>
      </c>
      <c r="P2" t="s">
        <v>46</v>
      </c>
      <c r="R2" t="s">
        <v>47</v>
      </c>
      <c r="S2">
        <v>3</v>
      </c>
    </row>
    <row r="3" spans="1:19" x14ac:dyDescent="0.35">
      <c r="A3" s="6">
        <f t="shared" ref="A3:A21" si="3">A2+0.5</f>
        <v>1</v>
      </c>
      <c r="B3" s="1">
        <f t="shared" si="0"/>
        <v>8.6898918402952857E-2</v>
      </c>
      <c r="C3" s="1">
        <f t="shared" si="1"/>
        <v>0.14089013278808435</v>
      </c>
      <c r="D3" s="7">
        <f t="shared" si="2"/>
        <v>4.9674549740525986E-2</v>
      </c>
      <c r="G3" s="3" t="s">
        <v>48</v>
      </c>
      <c r="H3" s="5">
        <f>H13</f>
        <v>6.7689027345494507E-2</v>
      </c>
      <c r="I3" s="5">
        <f>H12</f>
        <v>0.136037224884207</v>
      </c>
      <c r="P3" t="s">
        <v>49</v>
      </c>
      <c r="R3" t="s">
        <v>50</v>
      </c>
      <c r="S3">
        <v>6</v>
      </c>
    </row>
    <row r="4" spans="1:19" x14ac:dyDescent="0.35">
      <c r="A4" s="6">
        <f t="shared" si="3"/>
        <v>1.5</v>
      </c>
      <c r="B4" s="1">
        <f t="shared" si="0"/>
        <v>8.6728408610262125E-2</v>
      </c>
      <c r="C4" s="1">
        <f t="shared" si="1"/>
        <v>0.14225594369784628</v>
      </c>
      <c r="D4" s="7">
        <f t="shared" si="2"/>
        <v>5.1096055507184435E-2</v>
      </c>
      <c r="G4" s="3" t="s">
        <v>51</v>
      </c>
      <c r="H4" s="5">
        <f>I13</f>
        <v>6.0551003499949498E-2</v>
      </c>
      <c r="I4" s="5">
        <f>I12</f>
        <v>4.1228992739689796E-3</v>
      </c>
      <c r="P4" t="s">
        <v>52</v>
      </c>
      <c r="R4" t="s">
        <v>53</v>
      </c>
      <c r="S4">
        <v>12</v>
      </c>
    </row>
    <row r="5" spans="1:19" x14ac:dyDescent="0.35">
      <c r="A5" s="6">
        <f t="shared" si="3"/>
        <v>2</v>
      </c>
      <c r="B5" s="1">
        <f t="shared" si="0"/>
        <v>8.7219162491129681E-2</v>
      </c>
      <c r="C5" s="1">
        <f t="shared" si="1"/>
        <v>0.14332841169569896</v>
      </c>
      <c r="D5" s="7">
        <f t="shared" si="2"/>
        <v>5.1608039243906445E-2</v>
      </c>
      <c r="G5" s="3" t="s">
        <v>54</v>
      </c>
      <c r="H5" s="5">
        <f>J13</f>
        <v>-3.4729359081909598E-2</v>
      </c>
      <c r="I5" s="5">
        <f>J12</f>
        <v>-5.7689958941374202E-3</v>
      </c>
      <c r="R5" t="s">
        <v>55</v>
      </c>
      <c r="S5">
        <v>0</v>
      </c>
    </row>
    <row r="6" spans="1:19" x14ac:dyDescent="0.35">
      <c r="A6" s="6">
        <f t="shared" si="3"/>
        <v>2.5</v>
      </c>
      <c r="B6" s="1">
        <f t="shared" si="0"/>
        <v>8.7505341942210643E-2</v>
      </c>
      <c r="C6" s="1">
        <f t="shared" si="1"/>
        <v>0.14407867175342676</v>
      </c>
      <c r="D6" s="7">
        <f t="shared" si="2"/>
        <v>5.2021197165045718E-2</v>
      </c>
      <c r="G6" s="3" t="s">
        <v>56</v>
      </c>
      <c r="H6" s="5">
        <f>K13</f>
        <v>5.8379198698257202E-2</v>
      </c>
      <c r="I6" s="5">
        <f>K12</f>
        <v>3.03620235442312E-2</v>
      </c>
    </row>
    <row r="7" spans="1:19" x14ac:dyDescent="0.35">
      <c r="A7" s="6">
        <f t="shared" si="3"/>
        <v>3</v>
      </c>
      <c r="B7" s="1">
        <f t="shared" si="0"/>
        <v>8.7484325786878925E-2</v>
      </c>
      <c r="C7" s="1">
        <f t="shared" si="1"/>
        <v>0.14455783488392812</v>
      </c>
      <c r="D7" s="7">
        <f t="shared" si="2"/>
        <v>5.2482144104239792E-2</v>
      </c>
      <c r="G7" s="3" t="s">
        <v>57</v>
      </c>
      <c r="H7" s="5">
        <f>L13</f>
        <v>3.50303012501892</v>
      </c>
      <c r="I7" s="5">
        <f>L12</f>
        <v>2.5186901607017398</v>
      </c>
    </row>
    <row r="8" spans="1:19" x14ac:dyDescent="0.35">
      <c r="A8" s="6">
        <f t="shared" si="3"/>
        <v>3.5</v>
      </c>
      <c r="B8" s="1">
        <f t="shared" si="0"/>
        <v>8.720458281290018E-2</v>
      </c>
      <c r="C8" s="1">
        <f t="shared" si="1"/>
        <v>0.14482541543425476</v>
      </c>
      <c r="D8" s="7">
        <f t="shared" si="2"/>
        <v>5.2999070765755496E-2</v>
      </c>
      <c r="G8" s="3" t="s">
        <v>58</v>
      </c>
      <c r="H8" s="5">
        <f>M13</f>
        <v>0.53456997187412902</v>
      </c>
      <c r="I8" s="5">
        <f>M12</f>
        <v>0.43757522674073202</v>
      </c>
    </row>
    <row r="9" spans="1:19" x14ac:dyDescent="0.35">
      <c r="A9" s="6">
        <f t="shared" si="3"/>
        <v>4</v>
      </c>
      <c r="B9" s="1">
        <f t="shared" si="0"/>
        <v>8.6735650088770433E-2</v>
      </c>
      <c r="C9" s="1">
        <f t="shared" si="1"/>
        <v>0.14493278512834643</v>
      </c>
      <c r="D9" s="7">
        <f t="shared" si="2"/>
        <v>5.3552246155559757E-2</v>
      </c>
    </row>
    <row r="10" spans="1:19" x14ac:dyDescent="0.35">
      <c r="A10" s="6">
        <f t="shared" si="3"/>
        <v>4.5</v>
      </c>
      <c r="B10" s="1">
        <f t="shared" si="0"/>
        <v>8.6139465350980118E-2</v>
      </c>
      <c r="C10" s="1">
        <f t="shared" si="1"/>
        <v>0.14492104509101961</v>
      </c>
      <c r="D10" s="7">
        <f t="shared" si="2"/>
        <v>5.4119734725820434E-2</v>
      </c>
    </row>
    <row r="11" spans="1:19" x14ac:dyDescent="0.35">
      <c r="A11" s="6">
        <f t="shared" si="3"/>
        <v>5</v>
      </c>
      <c r="B11" s="1">
        <f t="shared" si="0"/>
        <v>8.5465173943694822E-2</v>
      </c>
      <c r="C11" s="1">
        <f t="shared" si="1"/>
        <v>0.14482227168170331</v>
      </c>
      <c r="D11" s="7">
        <f t="shared" si="2"/>
        <v>5.4683557946270334E-2</v>
      </c>
      <c r="G11" s="37">
        <v>46197</v>
      </c>
      <c r="H11" t="s">
        <v>48</v>
      </c>
      <c r="I11" t="s">
        <v>59</v>
      </c>
      <c r="J11" t="s">
        <v>60</v>
      </c>
      <c r="K11" t="s">
        <v>61</v>
      </c>
      <c r="L11" t="s">
        <v>62</v>
      </c>
      <c r="M11" t="s">
        <v>63</v>
      </c>
    </row>
    <row r="12" spans="1:19" x14ac:dyDescent="0.35">
      <c r="A12" s="6">
        <f t="shared" si="3"/>
        <v>5.5</v>
      </c>
      <c r="B12" s="1">
        <f t="shared" si="0"/>
        <v>8.4749809933414494E-2</v>
      </c>
      <c r="C12" s="1">
        <f t="shared" si="1"/>
        <v>0.14466125050754933</v>
      </c>
      <c r="D12" s="7">
        <f t="shared" si="2"/>
        <v>5.5230653211925773E-2</v>
      </c>
      <c r="G12" t="s">
        <v>64</v>
      </c>
      <c r="H12" s="38">
        <v>0.136037224884207</v>
      </c>
      <c r="I12" s="39">
        <v>4.1228992739689796E-3</v>
      </c>
      <c r="J12" s="39">
        <v>-5.7689958941374202E-3</v>
      </c>
      <c r="K12" s="39">
        <v>3.03620235442312E-2</v>
      </c>
      <c r="L12" s="38">
        <v>2.5186901607017398</v>
      </c>
      <c r="M12" s="38">
        <v>0.43757522674073202</v>
      </c>
    </row>
    <row r="13" spans="1:19" x14ac:dyDescent="0.35">
      <c r="A13" s="6">
        <f t="shared" si="3"/>
        <v>6</v>
      </c>
      <c r="B13" s="1">
        <f t="shared" si="0"/>
        <v>8.4020348371380685E-2</v>
      </c>
      <c r="C13" s="1">
        <f t="shared" si="1"/>
        <v>0.14445702133180005</v>
      </c>
      <c r="D13" s="7">
        <f t="shared" si="2"/>
        <v>5.5752341781423853E-2</v>
      </c>
      <c r="G13" t="s">
        <v>18</v>
      </c>
      <c r="H13" s="39">
        <v>6.7689027345494507E-2</v>
      </c>
      <c r="I13" s="39">
        <v>6.0551003499949498E-2</v>
      </c>
      <c r="J13" s="39">
        <v>-3.4729359081909598E-2</v>
      </c>
      <c r="K13" s="38">
        <v>5.8379198698257202E-2</v>
      </c>
      <c r="L13" s="38">
        <v>3.50303012501892</v>
      </c>
      <c r="M13" s="38">
        <v>0.53456997187412902</v>
      </c>
    </row>
    <row r="14" spans="1:19" x14ac:dyDescent="0.35">
      <c r="A14" s="6">
        <f t="shared" si="3"/>
        <v>6.5</v>
      </c>
      <c r="B14" s="1">
        <f t="shared" si="0"/>
        <v>8.3295849367057043E-2</v>
      </c>
      <c r="C14" s="1">
        <f t="shared" si="1"/>
        <v>0.14422412993401149</v>
      </c>
      <c r="D14" s="7">
        <f t="shared" si="2"/>
        <v>5.6243435809851361E-2</v>
      </c>
    </row>
    <row r="15" spans="1:19" x14ac:dyDescent="0.35">
      <c r="A15" s="6">
        <f t="shared" si="3"/>
        <v>7</v>
      </c>
      <c r="B15" s="1">
        <f t="shared" si="0"/>
        <v>8.2589328831932957E-2</v>
      </c>
      <c r="C15" s="1">
        <f t="shared" si="1"/>
        <v>0.14397361666831443</v>
      </c>
      <c r="D15" s="7">
        <f t="shared" si="2"/>
        <v>5.6701360526629774E-2</v>
      </c>
      <c r="Q15" t="s">
        <v>174</v>
      </c>
      <c r="R15">
        <f>COUNTIF(Motor!$E$69:$FK$69,"&gt;0")</f>
        <v>0</v>
      </c>
    </row>
    <row r="16" spans="1:19" x14ac:dyDescent="0.35">
      <c r="A16" s="6">
        <f t="shared" si="3"/>
        <v>7.5</v>
      </c>
      <c r="B16" s="1">
        <f t="shared" si="0"/>
        <v>8.1909281515379878E-2</v>
      </c>
      <c r="C16" s="1">
        <f t="shared" si="1"/>
        <v>0.14371379219336117</v>
      </c>
      <c r="D16" s="7">
        <f t="shared" si="2"/>
        <v>5.7125409434896968E-2</v>
      </c>
      <c r="Q16" t="s">
        <v>175</v>
      </c>
      <c r="R16">
        <f>COLUMNS(Motor!$E$69:$FK$69)</f>
        <v>163</v>
      </c>
    </row>
    <row r="17" spans="1:18" x14ac:dyDescent="0.35">
      <c r="A17" s="6">
        <f t="shared" si="3"/>
        <v>8</v>
      </c>
      <c r="B17" s="1">
        <f t="shared" si="0"/>
        <v>8.126087801460577E-2</v>
      </c>
      <c r="C17" s="1">
        <f t="shared" si="1"/>
        <v>0.1434508456877546</v>
      </c>
      <c r="D17" s="7">
        <f t="shared" si="2"/>
        <v>5.7516154461577207E-2</v>
      </c>
      <c r="Q17" t="s">
        <v>176</v>
      </c>
      <c r="R17" s="37" t="e">
        <f>IF(OR(eo_zera_npos=0,eo_zera_npos&gt;=eo_zera_ncols),NA(),INDEX(Motor!$E$2:$FK$2,eo_zera_npos+1))</f>
        <v>#N/A</v>
      </c>
    </row>
    <row r="18" spans="1:18" x14ac:dyDescent="0.35">
      <c r="A18" s="6">
        <f t="shared" si="3"/>
        <v>8.5</v>
      </c>
      <c r="B18" s="1">
        <f t="shared" si="0"/>
        <v>8.0646885600793666E-2</v>
      </c>
      <c r="C18" s="1">
        <f t="shared" si="1"/>
        <v>0.1431893218507321</v>
      </c>
      <c r="D18" s="7">
        <f t="shared" si="2"/>
        <v>5.7874997914020287E-2</v>
      </c>
    </row>
    <row r="19" spans="1:18" x14ac:dyDescent="0.35">
      <c r="A19" s="6">
        <f t="shared" si="3"/>
        <v>9</v>
      </c>
      <c r="B19" s="1">
        <f t="shared" si="0"/>
        <v>8.0068366000319177E-2</v>
      </c>
      <c r="C19" s="1">
        <f t="shared" si="1"/>
        <v>0.14293249501629132</v>
      </c>
      <c r="D19" s="7">
        <f t="shared" si="2"/>
        <v>5.8203842455611277E-2</v>
      </c>
    </row>
    <row r="20" spans="1:18" x14ac:dyDescent="0.35">
      <c r="A20" s="6">
        <f t="shared" si="3"/>
        <v>9.5</v>
      </c>
      <c r="B20" s="1">
        <f t="shared" si="0"/>
        <v>7.9525197818646198E-2</v>
      </c>
      <c r="C20" s="1">
        <f t="shared" si="1"/>
        <v>0.14268266243253491</v>
      </c>
      <c r="D20" s="7">
        <f t="shared" si="2"/>
        <v>5.8504854487424929E-2</v>
      </c>
    </row>
    <row r="21" spans="1:18" x14ac:dyDescent="0.35">
      <c r="A21" s="6">
        <f t="shared" si="3"/>
        <v>10</v>
      </c>
      <c r="B21" s="1">
        <f t="shared" si="0"/>
        <v>7.9016463435666345E-2</v>
      </c>
      <c r="C21" s="1">
        <f t="shared" si="1"/>
        <v>0.14244137393154879</v>
      </c>
      <c r="D21" s="7">
        <f t="shared" si="2"/>
        <v>5.8780299138284864E-2</v>
      </c>
    </row>
    <row r="22" spans="1:18" x14ac:dyDescent="0.35">
      <c r="A22" s="6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AtualizarETTJ_ANBIMA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304800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outlinePr summaryBelow="0"/>
  </sheetPr>
  <dimension ref="A1:FK69"/>
  <sheetViews>
    <sheetView showGridLines="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8" sqref="F8:FK8"/>
    </sheetView>
  </sheetViews>
  <sheetFormatPr defaultColWidth="11.1796875" defaultRowHeight="14.5" outlineLevelRow="1" x14ac:dyDescent="0.35"/>
  <cols>
    <col min="1" max="1" width="4.453125" style="24" customWidth="1"/>
    <col min="2" max="2" width="27.7265625" style="2" customWidth="1"/>
    <col min="3" max="3" width="15.26953125" style="2" customWidth="1"/>
    <col min="4" max="4" width="13" style="2" customWidth="1"/>
    <col min="5" max="8" width="12" style="2" bestFit="1" customWidth="1"/>
    <col min="9" max="9" width="11.54296875" style="2" bestFit="1" customWidth="1"/>
    <col min="10" max="24" width="12" style="2" bestFit="1" customWidth="1"/>
    <col min="25" max="25" width="11.54296875" style="2" bestFit="1" customWidth="1"/>
    <col min="26" max="29" width="12" style="2" bestFit="1" customWidth="1"/>
    <col min="30" max="30" width="11.54296875" style="2" bestFit="1" customWidth="1"/>
    <col min="31" max="34" width="12" style="2" bestFit="1" customWidth="1"/>
    <col min="35" max="35" width="11.54296875" style="2" bestFit="1" customWidth="1"/>
    <col min="36" max="37" width="12" style="2" bestFit="1" customWidth="1"/>
    <col min="38" max="38" width="11.54296875" style="2" bestFit="1" customWidth="1"/>
    <col min="39" max="42" width="12" style="2" bestFit="1" customWidth="1"/>
    <col min="43" max="43" width="11.54296875" style="2" bestFit="1" customWidth="1"/>
    <col min="44" max="47" width="12" style="2" bestFit="1" customWidth="1"/>
    <col min="48" max="48" width="11.54296875" style="2" bestFit="1" customWidth="1"/>
    <col min="49" max="100" width="12" style="2" bestFit="1" customWidth="1"/>
    <col min="101" max="101" width="11.54296875" style="2" bestFit="1" customWidth="1"/>
    <col min="102" max="105" width="12" style="2" bestFit="1" customWidth="1"/>
    <col min="106" max="106" width="11.54296875" style="2" bestFit="1" customWidth="1"/>
    <col min="107" max="108" width="12" style="2" bestFit="1" customWidth="1"/>
    <col min="109" max="109" width="11.54296875" style="2" bestFit="1" customWidth="1"/>
    <col min="110" max="113" width="12" style="2" bestFit="1" customWidth="1"/>
    <col min="114" max="114" width="11.54296875" style="2" bestFit="1" customWidth="1"/>
    <col min="115" max="118" width="12" style="2" bestFit="1" customWidth="1"/>
    <col min="119" max="119" width="11.54296875" style="2" bestFit="1" customWidth="1"/>
    <col min="120" max="129" width="12" style="2" bestFit="1" customWidth="1"/>
    <col min="130" max="167" width="12.54296875" style="2" bestFit="1" customWidth="1"/>
    <col min="168" max="170" width="11.1796875" style="2" customWidth="1"/>
    <col min="171" max="16384" width="11.1796875" style="2"/>
  </cols>
  <sheetData>
    <row r="1" spans="1:167" x14ac:dyDescent="0.35">
      <c r="A1" s="51"/>
      <c r="B1" s="51" t="s">
        <v>65</v>
      </c>
      <c r="C1" s="48"/>
      <c r="D1" s="48">
        <v>0</v>
      </c>
      <c r="E1" s="44">
        <f t="shared" ref="E1:AJ1" si="0">D1+1</f>
        <v>1</v>
      </c>
      <c r="F1" s="44">
        <f t="shared" si="0"/>
        <v>2</v>
      </c>
      <c r="G1" s="44">
        <f t="shared" si="0"/>
        <v>3</v>
      </c>
      <c r="H1" s="44">
        <f t="shared" si="0"/>
        <v>4</v>
      </c>
      <c r="I1" s="44">
        <f t="shared" si="0"/>
        <v>5</v>
      </c>
      <c r="J1" s="44">
        <f t="shared" si="0"/>
        <v>6</v>
      </c>
      <c r="K1" s="44">
        <f t="shared" si="0"/>
        <v>7</v>
      </c>
      <c r="L1" s="44">
        <f t="shared" si="0"/>
        <v>8</v>
      </c>
      <c r="M1" s="44">
        <f t="shared" si="0"/>
        <v>9</v>
      </c>
      <c r="N1" s="44">
        <f t="shared" si="0"/>
        <v>10</v>
      </c>
      <c r="O1" s="44">
        <f t="shared" si="0"/>
        <v>11</v>
      </c>
      <c r="P1" s="44">
        <f t="shared" si="0"/>
        <v>12</v>
      </c>
      <c r="Q1" s="44">
        <f t="shared" si="0"/>
        <v>13</v>
      </c>
      <c r="R1" s="44">
        <f t="shared" si="0"/>
        <v>14</v>
      </c>
      <c r="S1" s="44">
        <f t="shared" si="0"/>
        <v>15</v>
      </c>
      <c r="T1" s="44">
        <f t="shared" si="0"/>
        <v>16</v>
      </c>
      <c r="U1" s="44">
        <f t="shared" si="0"/>
        <v>17</v>
      </c>
      <c r="V1" s="44">
        <f t="shared" si="0"/>
        <v>18</v>
      </c>
      <c r="W1" s="44">
        <f t="shared" si="0"/>
        <v>19</v>
      </c>
      <c r="X1" s="44">
        <f t="shared" si="0"/>
        <v>20</v>
      </c>
      <c r="Y1" s="44">
        <f t="shared" si="0"/>
        <v>21</v>
      </c>
      <c r="Z1" s="44">
        <f t="shared" si="0"/>
        <v>22</v>
      </c>
      <c r="AA1" s="44">
        <f t="shared" si="0"/>
        <v>23</v>
      </c>
      <c r="AB1" s="44">
        <f t="shared" si="0"/>
        <v>24</v>
      </c>
      <c r="AC1" s="44">
        <f t="shared" si="0"/>
        <v>25</v>
      </c>
      <c r="AD1" s="44">
        <f t="shared" si="0"/>
        <v>26</v>
      </c>
      <c r="AE1" s="44">
        <f t="shared" si="0"/>
        <v>27</v>
      </c>
      <c r="AF1" s="44">
        <f t="shared" si="0"/>
        <v>28</v>
      </c>
      <c r="AG1" s="44">
        <f t="shared" si="0"/>
        <v>29</v>
      </c>
      <c r="AH1" s="44">
        <f t="shared" si="0"/>
        <v>30</v>
      </c>
      <c r="AI1" s="44">
        <f t="shared" si="0"/>
        <v>31</v>
      </c>
      <c r="AJ1" s="44">
        <f t="shared" si="0"/>
        <v>32</v>
      </c>
      <c r="AK1" s="44">
        <f t="shared" ref="AK1:BP1" si="1">AJ1+1</f>
        <v>33</v>
      </c>
      <c r="AL1" s="44">
        <f t="shared" si="1"/>
        <v>34</v>
      </c>
      <c r="AM1" s="44">
        <f t="shared" si="1"/>
        <v>35</v>
      </c>
      <c r="AN1" s="44">
        <f t="shared" si="1"/>
        <v>36</v>
      </c>
      <c r="AO1" s="44">
        <f t="shared" si="1"/>
        <v>37</v>
      </c>
      <c r="AP1" s="44">
        <f t="shared" si="1"/>
        <v>38</v>
      </c>
      <c r="AQ1" s="44">
        <f t="shared" si="1"/>
        <v>39</v>
      </c>
      <c r="AR1" s="44">
        <f t="shared" si="1"/>
        <v>40</v>
      </c>
      <c r="AS1" s="44">
        <f t="shared" si="1"/>
        <v>41</v>
      </c>
      <c r="AT1" s="44">
        <f t="shared" si="1"/>
        <v>42</v>
      </c>
      <c r="AU1" s="44">
        <f t="shared" si="1"/>
        <v>43</v>
      </c>
      <c r="AV1" s="44">
        <f t="shared" si="1"/>
        <v>44</v>
      </c>
      <c r="AW1" s="44">
        <f t="shared" si="1"/>
        <v>45</v>
      </c>
      <c r="AX1" s="44">
        <f t="shared" si="1"/>
        <v>46</v>
      </c>
      <c r="AY1" s="44">
        <f t="shared" si="1"/>
        <v>47</v>
      </c>
      <c r="AZ1" s="44">
        <f t="shared" si="1"/>
        <v>48</v>
      </c>
      <c r="BA1" s="44">
        <f t="shared" si="1"/>
        <v>49</v>
      </c>
      <c r="BB1" s="44">
        <f t="shared" si="1"/>
        <v>50</v>
      </c>
      <c r="BC1" s="44">
        <f t="shared" si="1"/>
        <v>51</v>
      </c>
      <c r="BD1" s="44">
        <f t="shared" si="1"/>
        <v>52</v>
      </c>
      <c r="BE1" s="44">
        <f t="shared" si="1"/>
        <v>53</v>
      </c>
      <c r="BF1" s="44">
        <f t="shared" si="1"/>
        <v>54</v>
      </c>
      <c r="BG1" s="44">
        <f t="shared" si="1"/>
        <v>55</v>
      </c>
      <c r="BH1" s="44">
        <f t="shared" si="1"/>
        <v>56</v>
      </c>
      <c r="BI1" s="44">
        <f t="shared" si="1"/>
        <v>57</v>
      </c>
      <c r="BJ1" s="44">
        <f t="shared" si="1"/>
        <v>58</v>
      </c>
      <c r="BK1" s="44">
        <f t="shared" si="1"/>
        <v>59</v>
      </c>
      <c r="BL1" s="44">
        <f t="shared" si="1"/>
        <v>60</v>
      </c>
      <c r="BM1" s="44">
        <f t="shared" si="1"/>
        <v>61</v>
      </c>
      <c r="BN1" s="44">
        <f t="shared" si="1"/>
        <v>62</v>
      </c>
      <c r="BO1" s="44">
        <f t="shared" si="1"/>
        <v>63</v>
      </c>
      <c r="BP1" s="44">
        <f t="shared" si="1"/>
        <v>64</v>
      </c>
      <c r="BQ1" s="44">
        <f t="shared" ref="BQ1:CV1" si="2">BP1+1</f>
        <v>65</v>
      </c>
      <c r="BR1" s="44">
        <f t="shared" si="2"/>
        <v>66</v>
      </c>
      <c r="BS1" s="44">
        <f t="shared" si="2"/>
        <v>67</v>
      </c>
      <c r="BT1" s="44">
        <f t="shared" si="2"/>
        <v>68</v>
      </c>
      <c r="BU1" s="44">
        <f t="shared" si="2"/>
        <v>69</v>
      </c>
      <c r="BV1" s="44">
        <f t="shared" si="2"/>
        <v>70</v>
      </c>
      <c r="BW1" s="44">
        <f t="shared" si="2"/>
        <v>71</v>
      </c>
      <c r="BX1" s="44">
        <f t="shared" si="2"/>
        <v>72</v>
      </c>
      <c r="BY1" s="44">
        <f t="shared" si="2"/>
        <v>73</v>
      </c>
      <c r="BZ1" s="44">
        <f t="shared" si="2"/>
        <v>74</v>
      </c>
      <c r="CA1" s="44">
        <f t="shared" si="2"/>
        <v>75</v>
      </c>
      <c r="CB1" s="44">
        <f t="shared" si="2"/>
        <v>76</v>
      </c>
      <c r="CC1" s="44">
        <f t="shared" si="2"/>
        <v>77</v>
      </c>
      <c r="CD1" s="44">
        <f t="shared" si="2"/>
        <v>78</v>
      </c>
      <c r="CE1" s="44">
        <f t="shared" si="2"/>
        <v>79</v>
      </c>
      <c r="CF1" s="44">
        <f t="shared" si="2"/>
        <v>80</v>
      </c>
      <c r="CG1" s="44">
        <f t="shared" si="2"/>
        <v>81</v>
      </c>
      <c r="CH1" s="44">
        <f t="shared" si="2"/>
        <v>82</v>
      </c>
      <c r="CI1" s="44">
        <f t="shared" si="2"/>
        <v>83</v>
      </c>
      <c r="CJ1" s="44">
        <f t="shared" si="2"/>
        <v>84</v>
      </c>
      <c r="CK1" s="44">
        <f t="shared" si="2"/>
        <v>85</v>
      </c>
      <c r="CL1" s="44">
        <f t="shared" si="2"/>
        <v>86</v>
      </c>
      <c r="CM1" s="44">
        <f t="shared" si="2"/>
        <v>87</v>
      </c>
      <c r="CN1" s="44">
        <f t="shared" si="2"/>
        <v>88</v>
      </c>
      <c r="CO1" s="44">
        <f t="shared" si="2"/>
        <v>89</v>
      </c>
      <c r="CP1" s="44">
        <f t="shared" si="2"/>
        <v>90</v>
      </c>
      <c r="CQ1" s="44">
        <f t="shared" si="2"/>
        <v>91</v>
      </c>
      <c r="CR1" s="44">
        <f t="shared" si="2"/>
        <v>92</v>
      </c>
      <c r="CS1" s="44">
        <f t="shared" si="2"/>
        <v>93</v>
      </c>
      <c r="CT1" s="44">
        <f t="shared" si="2"/>
        <v>94</v>
      </c>
      <c r="CU1" s="44">
        <f t="shared" si="2"/>
        <v>95</v>
      </c>
      <c r="CV1" s="44">
        <f t="shared" si="2"/>
        <v>96</v>
      </c>
      <c r="CW1" s="44">
        <f t="shared" ref="CW1:EB1" si="3">CV1+1</f>
        <v>97</v>
      </c>
      <c r="CX1" s="44">
        <f t="shared" si="3"/>
        <v>98</v>
      </c>
      <c r="CY1" s="44">
        <f t="shared" si="3"/>
        <v>99</v>
      </c>
      <c r="CZ1" s="44">
        <f t="shared" si="3"/>
        <v>100</v>
      </c>
      <c r="DA1" s="44">
        <f t="shared" si="3"/>
        <v>101</v>
      </c>
      <c r="DB1" s="44">
        <f t="shared" si="3"/>
        <v>102</v>
      </c>
      <c r="DC1" s="44">
        <f t="shared" si="3"/>
        <v>103</v>
      </c>
      <c r="DD1" s="44">
        <f t="shared" si="3"/>
        <v>104</v>
      </c>
      <c r="DE1" s="44">
        <f t="shared" si="3"/>
        <v>105</v>
      </c>
      <c r="DF1" s="44">
        <f t="shared" si="3"/>
        <v>106</v>
      </c>
      <c r="DG1" s="44">
        <f t="shared" si="3"/>
        <v>107</v>
      </c>
      <c r="DH1" s="44">
        <f t="shared" si="3"/>
        <v>108</v>
      </c>
      <c r="DI1" s="44">
        <f t="shared" si="3"/>
        <v>109</v>
      </c>
      <c r="DJ1" s="44">
        <f t="shared" si="3"/>
        <v>110</v>
      </c>
      <c r="DK1" s="44">
        <f t="shared" si="3"/>
        <v>111</v>
      </c>
      <c r="DL1" s="44">
        <f t="shared" si="3"/>
        <v>112</v>
      </c>
      <c r="DM1" s="44">
        <f t="shared" si="3"/>
        <v>113</v>
      </c>
      <c r="DN1" s="44">
        <f t="shared" si="3"/>
        <v>114</v>
      </c>
      <c r="DO1" s="44">
        <f t="shared" si="3"/>
        <v>115</v>
      </c>
      <c r="DP1" s="44">
        <f t="shared" si="3"/>
        <v>116</v>
      </c>
      <c r="DQ1" s="44">
        <f t="shared" si="3"/>
        <v>117</v>
      </c>
      <c r="DR1" s="44">
        <f t="shared" si="3"/>
        <v>118</v>
      </c>
      <c r="DS1" s="44">
        <f t="shared" si="3"/>
        <v>119</v>
      </c>
      <c r="DT1" s="44">
        <f t="shared" si="3"/>
        <v>120</v>
      </c>
      <c r="DU1" s="44">
        <f t="shared" si="3"/>
        <v>121</v>
      </c>
      <c r="DV1" s="44">
        <f t="shared" si="3"/>
        <v>122</v>
      </c>
      <c r="DW1" s="44">
        <f t="shared" si="3"/>
        <v>123</v>
      </c>
      <c r="DX1" s="44">
        <f t="shared" si="3"/>
        <v>124</v>
      </c>
      <c r="DY1" s="44">
        <f t="shared" si="3"/>
        <v>125</v>
      </c>
      <c r="DZ1" s="44">
        <f t="shared" si="3"/>
        <v>126</v>
      </c>
      <c r="EA1" s="44">
        <f t="shared" si="3"/>
        <v>127</v>
      </c>
      <c r="EB1" s="44">
        <f t="shared" si="3"/>
        <v>128</v>
      </c>
      <c r="EC1" s="44">
        <f t="shared" ref="EC1:FK1" si="4">EB1+1</f>
        <v>129</v>
      </c>
      <c r="ED1" s="44">
        <f t="shared" si="4"/>
        <v>130</v>
      </c>
      <c r="EE1" s="44">
        <f t="shared" si="4"/>
        <v>131</v>
      </c>
      <c r="EF1" s="44">
        <f t="shared" si="4"/>
        <v>132</v>
      </c>
      <c r="EG1" s="44">
        <f t="shared" si="4"/>
        <v>133</v>
      </c>
      <c r="EH1" s="44">
        <f t="shared" si="4"/>
        <v>134</v>
      </c>
      <c r="EI1" s="44">
        <f t="shared" si="4"/>
        <v>135</v>
      </c>
      <c r="EJ1" s="44">
        <f t="shared" si="4"/>
        <v>136</v>
      </c>
      <c r="EK1" s="44">
        <f t="shared" si="4"/>
        <v>137</v>
      </c>
      <c r="EL1" s="44">
        <f t="shared" si="4"/>
        <v>138</v>
      </c>
      <c r="EM1" s="44">
        <f t="shared" si="4"/>
        <v>139</v>
      </c>
      <c r="EN1" s="44">
        <f t="shared" si="4"/>
        <v>140</v>
      </c>
      <c r="EO1" s="44">
        <f t="shared" si="4"/>
        <v>141</v>
      </c>
      <c r="EP1" s="44">
        <f t="shared" si="4"/>
        <v>142</v>
      </c>
      <c r="EQ1" s="44">
        <f t="shared" si="4"/>
        <v>143</v>
      </c>
      <c r="ER1" s="44">
        <f t="shared" si="4"/>
        <v>144</v>
      </c>
      <c r="ES1" s="44">
        <f t="shared" si="4"/>
        <v>145</v>
      </c>
      <c r="ET1" s="44">
        <f t="shared" si="4"/>
        <v>146</v>
      </c>
      <c r="EU1" s="44">
        <f t="shared" si="4"/>
        <v>147</v>
      </c>
      <c r="EV1" s="44">
        <f t="shared" si="4"/>
        <v>148</v>
      </c>
      <c r="EW1" s="44">
        <f t="shared" si="4"/>
        <v>149</v>
      </c>
      <c r="EX1" s="44">
        <f t="shared" si="4"/>
        <v>150</v>
      </c>
      <c r="EY1" s="44">
        <f t="shared" si="4"/>
        <v>151</v>
      </c>
      <c r="EZ1" s="44">
        <f t="shared" si="4"/>
        <v>152</v>
      </c>
      <c r="FA1" s="44">
        <f t="shared" si="4"/>
        <v>153</v>
      </c>
      <c r="FB1" s="44">
        <f t="shared" si="4"/>
        <v>154</v>
      </c>
      <c r="FC1" s="44">
        <f t="shared" si="4"/>
        <v>155</v>
      </c>
      <c r="FD1" s="44">
        <f t="shared" si="4"/>
        <v>156</v>
      </c>
      <c r="FE1" s="44">
        <f t="shared" si="4"/>
        <v>157</v>
      </c>
      <c r="FF1" s="44">
        <f t="shared" si="4"/>
        <v>158</v>
      </c>
      <c r="FG1" s="44">
        <f t="shared" si="4"/>
        <v>159</v>
      </c>
      <c r="FH1" s="44">
        <f t="shared" si="4"/>
        <v>160</v>
      </c>
      <c r="FI1" s="44">
        <f t="shared" si="4"/>
        <v>161</v>
      </c>
      <c r="FJ1" s="44">
        <f t="shared" si="4"/>
        <v>162</v>
      </c>
      <c r="FK1" s="44">
        <f t="shared" si="4"/>
        <v>163</v>
      </c>
    </row>
    <row r="2" spans="1:167" x14ac:dyDescent="0.35">
      <c r="A2" s="51"/>
      <c r="B2" s="51" t="s">
        <v>25</v>
      </c>
      <c r="C2" s="48"/>
      <c r="D2" s="67">
        <f>EOMONTH(in_data_inicio,-1)</f>
        <v>46173</v>
      </c>
      <c r="E2" s="49">
        <f t="shared" ref="E2:AJ2" si="5">EOMONTH(D2,1)</f>
        <v>46203</v>
      </c>
      <c r="F2" s="49">
        <f t="shared" si="5"/>
        <v>46234</v>
      </c>
      <c r="G2" s="49">
        <f t="shared" si="5"/>
        <v>46265</v>
      </c>
      <c r="H2" s="49">
        <f t="shared" si="5"/>
        <v>46295</v>
      </c>
      <c r="I2" s="49">
        <f t="shared" si="5"/>
        <v>46326</v>
      </c>
      <c r="J2" s="49">
        <f t="shared" si="5"/>
        <v>46356</v>
      </c>
      <c r="K2" s="49">
        <f t="shared" si="5"/>
        <v>46387</v>
      </c>
      <c r="L2" s="49">
        <f t="shared" si="5"/>
        <v>46418</v>
      </c>
      <c r="M2" s="49">
        <f t="shared" si="5"/>
        <v>46446</v>
      </c>
      <c r="N2" s="49">
        <f t="shared" si="5"/>
        <v>46477</v>
      </c>
      <c r="O2" s="49">
        <f t="shared" si="5"/>
        <v>46507</v>
      </c>
      <c r="P2" s="49">
        <f t="shared" si="5"/>
        <v>46538</v>
      </c>
      <c r="Q2" s="49">
        <f t="shared" si="5"/>
        <v>46568</v>
      </c>
      <c r="R2" s="49">
        <f t="shared" si="5"/>
        <v>46599</v>
      </c>
      <c r="S2" s="49">
        <f t="shared" si="5"/>
        <v>46630</v>
      </c>
      <c r="T2" s="49">
        <f t="shared" si="5"/>
        <v>46660</v>
      </c>
      <c r="U2" s="49">
        <f t="shared" si="5"/>
        <v>46691</v>
      </c>
      <c r="V2" s="49">
        <f t="shared" si="5"/>
        <v>46721</v>
      </c>
      <c r="W2" s="49">
        <f t="shared" si="5"/>
        <v>46752</v>
      </c>
      <c r="X2" s="49">
        <f t="shared" si="5"/>
        <v>46783</v>
      </c>
      <c r="Y2" s="49">
        <f t="shared" si="5"/>
        <v>46812</v>
      </c>
      <c r="Z2" s="49">
        <f t="shared" si="5"/>
        <v>46843</v>
      </c>
      <c r="AA2" s="49">
        <f t="shared" si="5"/>
        <v>46873</v>
      </c>
      <c r="AB2" s="49">
        <f t="shared" si="5"/>
        <v>46904</v>
      </c>
      <c r="AC2" s="49">
        <f t="shared" si="5"/>
        <v>46934</v>
      </c>
      <c r="AD2" s="49">
        <f t="shared" si="5"/>
        <v>46965</v>
      </c>
      <c r="AE2" s="49">
        <f t="shared" si="5"/>
        <v>46996</v>
      </c>
      <c r="AF2" s="49">
        <f t="shared" si="5"/>
        <v>47026</v>
      </c>
      <c r="AG2" s="49">
        <f t="shared" si="5"/>
        <v>47057</v>
      </c>
      <c r="AH2" s="49">
        <f t="shared" si="5"/>
        <v>47087</v>
      </c>
      <c r="AI2" s="49">
        <f t="shared" si="5"/>
        <v>47118</v>
      </c>
      <c r="AJ2" s="49">
        <f t="shared" si="5"/>
        <v>47149</v>
      </c>
      <c r="AK2" s="49">
        <f t="shared" ref="AK2:BP2" si="6">EOMONTH(AJ2,1)</f>
        <v>47177</v>
      </c>
      <c r="AL2" s="49">
        <f t="shared" si="6"/>
        <v>47208</v>
      </c>
      <c r="AM2" s="49">
        <f t="shared" si="6"/>
        <v>47238</v>
      </c>
      <c r="AN2" s="49">
        <f t="shared" si="6"/>
        <v>47269</v>
      </c>
      <c r="AO2" s="49">
        <f t="shared" si="6"/>
        <v>47299</v>
      </c>
      <c r="AP2" s="49">
        <f t="shared" si="6"/>
        <v>47330</v>
      </c>
      <c r="AQ2" s="49">
        <f t="shared" si="6"/>
        <v>47361</v>
      </c>
      <c r="AR2" s="49">
        <f t="shared" si="6"/>
        <v>47391</v>
      </c>
      <c r="AS2" s="49">
        <f t="shared" si="6"/>
        <v>47422</v>
      </c>
      <c r="AT2" s="49">
        <f t="shared" si="6"/>
        <v>47452</v>
      </c>
      <c r="AU2" s="49">
        <f t="shared" si="6"/>
        <v>47483</v>
      </c>
      <c r="AV2" s="49">
        <f t="shared" si="6"/>
        <v>47514</v>
      </c>
      <c r="AW2" s="49">
        <f t="shared" si="6"/>
        <v>47542</v>
      </c>
      <c r="AX2" s="49">
        <f t="shared" si="6"/>
        <v>47573</v>
      </c>
      <c r="AY2" s="49">
        <f t="shared" si="6"/>
        <v>47603</v>
      </c>
      <c r="AZ2" s="49">
        <f t="shared" si="6"/>
        <v>47634</v>
      </c>
      <c r="BA2" s="49">
        <f t="shared" si="6"/>
        <v>47664</v>
      </c>
      <c r="BB2" s="49">
        <f t="shared" si="6"/>
        <v>47695</v>
      </c>
      <c r="BC2" s="49">
        <f t="shared" si="6"/>
        <v>47726</v>
      </c>
      <c r="BD2" s="49">
        <f t="shared" si="6"/>
        <v>47756</v>
      </c>
      <c r="BE2" s="49">
        <f t="shared" si="6"/>
        <v>47787</v>
      </c>
      <c r="BF2" s="49">
        <f t="shared" si="6"/>
        <v>47817</v>
      </c>
      <c r="BG2" s="49">
        <f t="shared" si="6"/>
        <v>47848</v>
      </c>
      <c r="BH2" s="49">
        <f t="shared" si="6"/>
        <v>47879</v>
      </c>
      <c r="BI2" s="49">
        <f t="shared" si="6"/>
        <v>47907</v>
      </c>
      <c r="BJ2" s="49">
        <f t="shared" si="6"/>
        <v>47938</v>
      </c>
      <c r="BK2" s="49">
        <f t="shared" si="6"/>
        <v>47968</v>
      </c>
      <c r="BL2" s="49">
        <f t="shared" si="6"/>
        <v>47999</v>
      </c>
      <c r="BM2" s="49">
        <f t="shared" si="6"/>
        <v>48029</v>
      </c>
      <c r="BN2" s="49">
        <f t="shared" si="6"/>
        <v>48060</v>
      </c>
      <c r="BO2" s="49">
        <f t="shared" si="6"/>
        <v>48091</v>
      </c>
      <c r="BP2" s="49">
        <f t="shared" si="6"/>
        <v>48121</v>
      </c>
      <c r="BQ2" s="49">
        <f t="shared" ref="BQ2:CV2" si="7">EOMONTH(BP2,1)</f>
        <v>48152</v>
      </c>
      <c r="BR2" s="49">
        <f t="shared" si="7"/>
        <v>48182</v>
      </c>
      <c r="BS2" s="49">
        <f t="shared" si="7"/>
        <v>48213</v>
      </c>
      <c r="BT2" s="49">
        <f t="shared" si="7"/>
        <v>48244</v>
      </c>
      <c r="BU2" s="49">
        <f t="shared" si="7"/>
        <v>48273</v>
      </c>
      <c r="BV2" s="49">
        <f t="shared" si="7"/>
        <v>48304</v>
      </c>
      <c r="BW2" s="49">
        <f t="shared" si="7"/>
        <v>48334</v>
      </c>
      <c r="BX2" s="49">
        <f t="shared" si="7"/>
        <v>48365</v>
      </c>
      <c r="BY2" s="49">
        <f t="shared" si="7"/>
        <v>48395</v>
      </c>
      <c r="BZ2" s="49">
        <f t="shared" si="7"/>
        <v>48426</v>
      </c>
      <c r="CA2" s="49">
        <f t="shared" si="7"/>
        <v>48457</v>
      </c>
      <c r="CB2" s="49">
        <f t="shared" si="7"/>
        <v>48487</v>
      </c>
      <c r="CC2" s="49">
        <f t="shared" si="7"/>
        <v>48518</v>
      </c>
      <c r="CD2" s="49">
        <f t="shared" si="7"/>
        <v>48548</v>
      </c>
      <c r="CE2" s="49">
        <f t="shared" si="7"/>
        <v>48579</v>
      </c>
      <c r="CF2" s="49">
        <f t="shared" si="7"/>
        <v>48610</v>
      </c>
      <c r="CG2" s="49">
        <f t="shared" si="7"/>
        <v>48638</v>
      </c>
      <c r="CH2" s="49">
        <f t="shared" si="7"/>
        <v>48669</v>
      </c>
      <c r="CI2" s="49">
        <f t="shared" si="7"/>
        <v>48699</v>
      </c>
      <c r="CJ2" s="49">
        <f t="shared" si="7"/>
        <v>48730</v>
      </c>
      <c r="CK2" s="49">
        <f t="shared" si="7"/>
        <v>48760</v>
      </c>
      <c r="CL2" s="49">
        <f t="shared" si="7"/>
        <v>48791</v>
      </c>
      <c r="CM2" s="49">
        <f t="shared" si="7"/>
        <v>48822</v>
      </c>
      <c r="CN2" s="49">
        <f t="shared" si="7"/>
        <v>48852</v>
      </c>
      <c r="CO2" s="49">
        <f t="shared" si="7"/>
        <v>48883</v>
      </c>
      <c r="CP2" s="49">
        <f t="shared" si="7"/>
        <v>48913</v>
      </c>
      <c r="CQ2" s="49">
        <f t="shared" si="7"/>
        <v>48944</v>
      </c>
      <c r="CR2" s="49">
        <f t="shared" si="7"/>
        <v>48975</v>
      </c>
      <c r="CS2" s="49">
        <f t="shared" si="7"/>
        <v>49003</v>
      </c>
      <c r="CT2" s="49">
        <f t="shared" si="7"/>
        <v>49034</v>
      </c>
      <c r="CU2" s="49">
        <f t="shared" si="7"/>
        <v>49064</v>
      </c>
      <c r="CV2" s="49">
        <f t="shared" si="7"/>
        <v>49095</v>
      </c>
      <c r="CW2" s="49">
        <f t="shared" ref="CW2:EB2" si="8">EOMONTH(CV2,1)</f>
        <v>49125</v>
      </c>
      <c r="CX2" s="49">
        <f t="shared" si="8"/>
        <v>49156</v>
      </c>
      <c r="CY2" s="49">
        <f t="shared" si="8"/>
        <v>49187</v>
      </c>
      <c r="CZ2" s="49">
        <f t="shared" si="8"/>
        <v>49217</v>
      </c>
      <c r="DA2" s="49">
        <f t="shared" si="8"/>
        <v>49248</v>
      </c>
      <c r="DB2" s="49">
        <f t="shared" si="8"/>
        <v>49278</v>
      </c>
      <c r="DC2" s="49">
        <f t="shared" si="8"/>
        <v>49309</v>
      </c>
      <c r="DD2" s="49">
        <f t="shared" si="8"/>
        <v>49340</v>
      </c>
      <c r="DE2" s="49">
        <f t="shared" si="8"/>
        <v>49368</v>
      </c>
      <c r="DF2" s="49">
        <f t="shared" si="8"/>
        <v>49399</v>
      </c>
      <c r="DG2" s="49">
        <f t="shared" si="8"/>
        <v>49429</v>
      </c>
      <c r="DH2" s="49">
        <f t="shared" si="8"/>
        <v>49460</v>
      </c>
      <c r="DI2" s="49">
        <f t="shared" si="8"/>
        <v>49490</v>
      </c>
      <c r="DJ2" s="49">
        <f t="shared" si="8"/>
        <v>49521</v>
      </c>
      <c r="DK2" s="49">
        <f t="shared" si="8"/>
        <v>49552</v>
      </c>
      <c r="DL2" s="49">
        <f t="shared" si="8"/>
        <v>49582</v>
      </c>
      <c r="DM2" s="49">
        <f t="shared" si="8"/>
        <v>49613</v>
      </c>
      <c r="DN2" s="49">
        <f t="shared" si="8"/>
        <v>49643</v>
      </c>
      <c r="DO2" s="49">
        <f t="shared" si="8"/>
        <v>49674</v>
      </c>
      <c r="DP2" s="49">
        <f t="shared" si="8"/>
        <v>49705</v>
      </c>
      <c r="DQ2" s="49">
        <f t="shared" si="8"/>
        <v>49734</v>
      </c>
      <c r="DR2" s="49">
        <f t="shared" si="8"/>
        <v>49765</v>
      </c>
      <c r="DS2" s="49">
        <f t="shared" si="8"/>
        <v>49795</v>
      </c>
      <c r="DT2" s="49">
        <f t="shared" si="8"/>
        <v>49826</v>
      </c>
      <c r="DU2" s="49">
        <f t="shared" si="8"/>
        <v>49856</v>
      </c>
      <c r="DV2" s="49">
        <f t="shared" si="8"/>
        <v>49887</v>
      </c>
      <c r="DW2" s="49">
        <f t="shared" si="8"/>
        <v>49918</v>
      </c>
      <c r="DX2" s="49">
        <f t="shared" si="8"/>
        <v>49948</v>
      </c>
      <c r="DY2" s="49">
        <f t="shared" si="8"/>
        <v>49979</v>
      </c>
      <c r="DZ2" s="49">
        <f t="shared" si="8"/>
        <v>50009</v>
      </c>
      <c r="EA2" s="49">
        <f t="shared" si="8"/>
        <v>50040</v>
      </c>
      <c r="EB2" s="49">
        <f t="shared" si="8"/>
        <v>50071</v>
      </c>
      <c r="EC2" s="49">
        <f t="shared" ref="EC2:FK2" si="9">EOMONTH(EB2,1)</f>
        <v>50099</v>
      </c>
      <c r="ED2" s="49">
        <f t="shared" si="9"/>
        <v>50130</v>
      </c>
      <c r="EE2" s="49">
        <f t="shared" si="9"/>
        <v>50160</v>
      </c>
      <c r="EF2" s="49">
        <f t="shared" si="9"/>
        <v>50191</v>
      </c>
      <c r="EG2" s="49">
        <f t="shared" si="9"/>
        <v>50221</v>
      </c>
      <c r="EH2" s="49">
        <f t="shared" si="9"/>
        <v>50252</v>
      </c>
      <c r="EI2" s="49">
        <f t="shared" si="9"/>
        <v>50283</v>
      </c>
      <c r="EJ2" s="49">
        <f t="shared" si="9"/>
        <v>50313</v>
      </c>
      <c r="EK2" s="49">
        <f t="shared" si="9"/>
        <v>50344</v>
      </c>
      <c r="EL2" s="49">
        <f t="shared" si="9"/>
        <v>50374</v>
      </c>
      <c r="EM2" s="49">
        <f t="shared" si="9"/>
        <v>50405</v>
      </c>
      <c r="EN2" s="49">
        <f t="shared" si="9"/>
        <v>50436</v>
      </c>
      <c r="EO2" s="49">
        <f t="shared" si="9"/>
        <v>50464</v>
      </c>
      <c r="EP2" s="49">
        <f t="shared" si="9"/>
        <v>50495</v>
      </c>
      <c r="EQ2" s="49">
        <f t="shared" si="9"/>
        <v>50525</v>
      </c>
      <c r="ER2" s="49">
        <f t="shared" si="9"/>
        <v>50556</v>
      </c>
      <c r="ES2" s="49">
        <f t="shared" si="9"/>
        <v>50586</v>
      </c>
      <c r="ET2" s="49">
        <f t="shared" si="9"/>
        <v>50617</v>
      </c>
      <c r="EU2" s="49">
        <f t="shared" si="9"/>
        <v>50648</v>
      </c>
      <c r="EV2" s="49">
        <f t="shared" si="9"/>
        <v>50678</v>
      </c>
      <c r="EW2" s="49">
        <f t="shared" si="9"/>
        <v>50709</v>
      </c>
      <c r="EX2" s="49">
        <f t="shared" si="9"/>
        <v>50739</v>
      </c>
      <c r="EY2" s="49">
        <f t="shared" si="9"/>
        <v>50770</v>
      </c>
      <c r="EZ2" s="49">
        <f t="shared" si="9"/>
        <v>50801</v>
      </c>
      <c r="FA2" s="49">
        <f t="shared" si="9"/>
        <v>50829</v>
      </c>
      <c r="FB2" s="49">
        <f t="shared" si="9"/>
        <v>50860</v>
      </c>
      <c r="FC2" s="49">
        <f t="shared" si="9"/>
        <v>50890</v>
      </c>
      <c r="FD2" s="49">
        <f t="shared" si="9"/>
        <v>50921</v>
      </c>
      <c r="FE2" s="49">
        <f t="shared" si="9"/>
        <v>50951</v>
      </c>
      <c r="FF2" s="49">
        <f t="shared" si="9"/>
        <v>50982</v>
      </c>
      <c r="FG2" s="49">
        <f t="shared" si="9"/>
        <v>51013</v>
      </c>
      <c r="FH2" s="49">
        <f t="shared" si="9"/>
        <v>51043</v>
      </c>
      <c r="FI2" s="49">
        <f t="shared" si="9"/>
        <v>51074</v>
      </c>
      <c r="FJ2" s="49">
        <f t="shared" si="9"/>
        <v>51104</v>
      </c>
      <c r="FK2" s="49">
        <f t="shared" si="9"/>
        <v>51135</v>
      </c>
    </row>
    <row r="3" spans="1:167" x14ac:dyDescent="0.35">
      <c r="A3" s="51"/>
      <c r="B3" s="51" t="s">
        <v>66</v>
      </c>
      <c r="C3" s="48"/>
      <c r="D3" s="50"/>
      <c r="E3" s="44">
        <f>E2-in_data_inicio</f>
        <v>6</v>
      </c>
      <c r="F3" s="44">
        <f t="shared" ref="F3:AJ3" si="10">F2-E2</f>
        <v>31</v>
      </c>
      <c r="G3" s="44">
        <f t="shared" si="10"/>
        <v>31</v>
      </c>
      <c r="H3" s="44">
        <f t="shared" si="10"/>
        <v>30</v>
      </c>
      <c r="I3" s="44">
        <f t="shared" si="10"/>
        <v>31</v>
      </c>
      <c r="J3" s="44">
        <f t="shared" si="10"/>
        <v>30</v>
      </c>
      <c r="K3" s="44">
        <f t="shared" si="10"/>
        <v>31</v>
      </c>
      <c r="L3" s="44">
        <f t="shared" si="10"/>
        <v>31</v>
      </c>
      <c r="M3" s="44">
        <f t="shared" si="10"/>
        <v>28</v>
      </c>
      <c r="N3" s="44">
        <f t="shared" si="10"/>
        <v>31</v>
      </c>
      <c r="O3" s="44">
        <f t="shared" si="10"/>
        <v>30</v>
      </c>
      <c r="P3" s="44">
        <f t="shared" si="10"/>
        <v>31</v>
      </c>
      <c r="Q3" s="44">
        <f t="shared" si="10"/>
        <v>30</v>
      </c>
      <c r="R3" s="44">
        <f t="shared" si="10"/>
        <v>31</v>
      </c>
      <c r="S3" s="44">
        <f t="shared" si="10"/>
        <v>31</v>
      </c>
      <c r="T3" s="44">
        <f t="shared" si="10"/>
        <v>30</v>
      </c>
      <c r="U3" s="44">
        <f t="shared" si="10"/>
        <v>31</v>
      </c>
      <c r="V3" s="44">
        <f t="shared" si="10"/>
        <v>30</v>
      </c>
      <c r="W3" s="44">
        <f t="shared" si="10"/>
        <v>31</v>
      </c>
      <c r="X3" s="44">
        <f t="shared" si="10"/>
        <v>31</v>
      </c>
      <c r="Y3" s="44">
        <f t="shared" si="10"/>
        <v>29</v>
      </c>
      <c r="Z3" s="44">
        <f t="shared" si="10"/>
        <v>31</v>
      </c>
      <c r="AA3" s="44">
        <f t="shared" si="10"/>
        <v>30</v>
      </c>
      <c r="AB3" s="44">
        <f t="shared" si="10"/>
        <v>31</v>
      </c>
      <c r="AC3" s="44">
        <f t="shared" si="10"/>
        <v>30</v>
      </c>
      <c r="AD3" s="44">
        <f t="shared" si="10"/>
        <v>31</v>
      </c>
      <c r="AE3" s="44">
        <f t="shared" si="10"/>
        <v>31</v>
      </c>
      <c r="AF3" s="44">
        <f t="shared" si="10"/>
        <v>30</v>
      </c>
      <c r="AG3" s="44">
        <f t="shared" si="10"/>
        <v>31</v>
      </c>
      <c r="AH3" s="44">
        <f t="shared" si="10"/>
        <v>30</v>
      </c>
      <c r="AI3" s="44">
        <f t="shared" si="10"/>
        <v>31</v>
      </c>
      <c r="AJ3" s="44">
        <f t="shared" si="10"/>
        <v>31</v>
      </c>
      <c r="AK3" s="44">
        <f t="shared" ref="AK3:BP3" si="11">AK2-AJ2</f>
        <v>28</v>
      </c>
      <c r="AL3" s="44">
        <f t="shared" si="11"/>
        <v>31</v>
      </c>
      <c r="AM3" s="44">
        <f t="shared" si="11"/>
        <v>30</v>
      </c>
      <c r="AN3" s="44">
        <f t="shared" si="11"/>
        <v>31</v>
      </c>
      <c r="AO3" s="44">
        <f t="shared" si="11"/>
        <v>30</v>
      </c>
      <c r="AP3" s="44">
        <f t="shared" si="11"/>
        <v>31</v>
      </c>
      <c r="AQ3" s="44">
        <f t="shared" si="11"/>
        <v>31</v>
      </c>
      <c r="AR3" s="44">
        <f t="shared" si="11"/>
        <v>30</v>
      </c>
      <c r="AS3" s="44">
        <f t="shared" si="11"/>
        <v>31</v>
      </c>
      <c r="AT3" s="44">
        <f t="shared" si="11"/>
        <v>30</v>
      </c>
      <c r="AU3" s="44">
        <f t="shared" si="11"/>
        <v>31</v>
      </c>
      <c r="AV3" s="44">
        <f t="shared" si="11"/>
        <v>31</v>
      </c>
      <c r="AW3" s="44">
        <f t="shared" si="11"/>
        <v>28</v>
      </c>
      <c r="AX3" s="44">
        <f t="shared" si="11"/>
        <v>31</v>
      </c>
      <c r="AY3" s="44">
        <f t="shared" si="11"/>
        <v>30</v>
      </c>
      <c r="AZ3" s="44">
        <f t="shared" si="11"/>
        <v>31</v>
      </c>
      <c r="BA3" s="44">
        <f t="shared" si="11"/>
        <v>30</v>
      </c>
      <c r="BB3" s="44">
        <f t="shared" si="11"/>
        <v>31</v>
      </c>
      <c r="BC3" s="44">
        <f t="shared" si="11"/>
        <v>31</v>
      </c>
      <c r="BD3" s="44">
        <f t="shared" si="11"/>
        <v>30</v>
      </c>
      <c r="BE3" s="44">
        <f t="shared" si="11"/>
        <v>31</v>
      </c>
      <c r="BF3" s="44">
        <f t="shared" si="11"/>
        <v>30</v>
      </c>
      <c r="BG3" s="44">
        <f t="shared" si="11"/>
        <v>31</v>
      </c>
      <c r="BH3" s="44">
        <f t="shared" si="11"/>
        <v>31</v>
      </c>
      <c r="BI3" s="44">
        <f t="shared" si="11"/>
        <v>28</v>
      </c>
      <c r="BJ3" s="44">
        <f t="shared" si="11"/>
        <v>31</v>
      </c>
      <c r="BK3" s="44">
        <f t="shared" si="11"/>
        <v>30</v>
      </c>
      <c r="BL3" s="44">
        <f t="shared" si="11"/>
        <v>31</v>
      </c>
      <c r="BM3" s="44">
        <f t="shared" si="11"/>
        <v>30</v>
      </c>
      <c r="BN3" s="44">
        <f t="shared" si="11"/>
        <v>31</v>
      </c>
      <c r="BO3" s="44">
        <f t="shared" si="11"/>
        <v>31</v>
      </c>
      <c r="BP3" s="44">
        <f t="shared" si="11"/>
        <v>30</v>
      </c>
      <c r="BQ3" s="44">
        <f t="shared" ref="BQ3:CV3" si="12">BQ2-BP2</f>
        <v>31</v>
      </c>
      <c r="BR3" s="44">
        <f t="shared" si="12"/>
        <v>30</v>
      </c>
      <c r="BS3" s="44">
        <f t="shared" si="12"/>
        <v>31</v>
      </c>
      <c r="BT3" s="44">
        <f t="shared" si="12"/>
        <v>31</v>
      </c>
      <c r="BU3" s="44">
        <f t="shared" si="12"/>
        <v>29</v>
      </c>
      <c r="BV3" s="44">
        <f t="shared" si="12"/>
        <v>31</v>
      </c>
      <c r="BW3" s="44">
        <f t="shared" si="12"/>
        <v>30</v>
      </c>
      <c r="BX3" s="44">
        <f t="shared" si="12"/>
        <v>31</v>
      </c>
      <c r="BY3" s="44">
        <f t="shared" si="12"/>
        <v>30</v>
      </c>
      <c r="BZ3" s="44">
        <f t="shared" si="12"/>
        <v>31</v>
      </c>
      <c r="CA3" s="44">
        <f t="shared" si="12"/>
        <v>31</v>
      </c>
      <c r="CB3" s="44">
        <f t="shared" si="12"/>
        <v>30</v>
      </c>
      <c r="CC3" s="44">
        <f t="shared" si="12"/>
        <v>31</v>
      </c>
      <c r="CD3" s="44">
        <f t="shared" si="12"/>
        <v>30</v>
      </c>
      <c r="CE3" s="44">
        <f t="shared" si="12"/>
        <v>31</v>
      </c>
      <c r="CF3" s="44">
        <f t="shared" si="12"/>
        <v>31</v>
      </c>
      <c r="CG3" s="44">
        <f t="shared" si="12"/>
        <v>28</v>
      </c>
      <c r="CH3" s="44">
        <f t="shared" si="12"/>
        <v>31</v>
      </c>
      <c r="CI3" s="44">
        <f t="shared" si="12"/>
        <v>30</v>
      </c>
      <c r="CJ3" s="44">
        <f t="shared" si="12"/>
        <v>31</v>
      </c>
      <c r="CK3" s="44">
        <f t="shared" si="12"/>
        <v>30</v>
      </c>
      <c r="CL3" s="44">
        <f t="shared" si="12"/>
        <v>31</v>
      </c>
      <c r="CM3" s="44">
        <f t="shared" si="12"/>
        <v>31</v>
      </c>
      <c r="CN3" s="44">
        <f t="shared" si="12"/>
        <v>30</v>
      </c>
      <c r="CO3" s="44">
        <f t="shared" si="12"/>
        <v>31</v>
      </c>
      <c r="CP3" s="44">
        <f t="shared" si="12"/>
        <v>30</v>
      </c>
      <c r="CQ3" s="44">
        <f t="shared" si="12"/>
        <v>31</v>
      </c>
      <c r="CR3" s="44">
        <f t="shared" si="12"/>
        <v>31</v>
      </c>
      <c r="CS3" s="44">
        <f t="shared" si="12"/>
        <v>28</v>
      </c>
      <c r="CT3" s="44">
        <f t="shared" si="12"/>
        <v>31</v>
      </c>
      <c r="CU3" s="44">
        <f t="shared" si="12"/>
        <v>30</v>
      </c>
      <c r="CV3" s="44">
        <f t="shared" si="12"/>
        <v>31</v>
      </c>
      <c r="CW3" s="44">
        <f t="shared" ref="CW3:EB3" si="13">CW2-CV2</f>
        <v>30</v>
      </c>
      <c r="CX3" s="44">
        <f t="shared" si="13"/>
        <v>31</v>
      </c>
      <c r="CY3" s="44">
        <f t="shared" si="13"/>
        <v>31</v>
      </c>
      <c r="CZ3" s="44">
        <f t="shared" si="13"/>
        <v>30</v>
      </c>
      <c r="DA3" s="44">
        <f t="shared" si="13"/>
        <v>31</v>
      </c>
      <c r="DB3" s="44">
        <f t="shared" si="13"/>
        <v>30</v>
      </c>
      <c r="DC3" s="44">
        <f t="shared" si="13"/>
        <v>31</v>
      </c>
      <c r="DD3" s="44">
        <f t="shared" si="13"/>
        <v>31</v>
      </c>
      <c r="DE3" s="44">
        <f t="shared" si="13"/>
        <v>28</v>
      </c>
      <c r="DF3" s="44">
        <f t="shared" si="13"/>
        <v>31</v>
      </c>
      <c r="DG3" s="44">
        <f t="shared" si="13"/>
        <v>30</v>
      </c>
      <c r="DH3" s="44">
        <f t="shared" si="13"/>
        <v>31</v>
      </c>
      <c r="DI3" s="44">
        <f t="shared" si="13"/>
        <v>30</v>
      </c>
      <c r="DJ3" s="44">
        <f t="shared" si="13"/>
        <v>31</v>
      </c>
      <c r="DK3" s="44">
        <f t="shared" si="13"/>
        <v>31</v>
      </c>
      <c r="DL3" s="44">
        <f t="shared" si="13"/>
        <v>30</v>
      </c>
      <c r="DM3" s="44">
        <f t="shared" si="13"/>
        <v>31</v>
      </c>
      <c r="DN3" s="44">
        <f t="shared" si="13"/>
        <v>30</v>
      </c>
      <c r="DO3" s="44">
        <f t="shared" si="13"/>
        <v>31</v>
      </c>
      <c r="DP3" s="44">
        <f t="shared" si="13"/>
        <v>31</v>
      </c>
      <c r="DQ3" s="44">
        <f t="shared" si="13"/>
        <v>29</v>
      </c>
      <c r="DR3" s="44">
        <f t="shared" si="13"/>
        <v>31</v>
      </c>
      <c r="DS3" s="44">
        <f t="shared" si="13"/>
        <v>30</v>
      </c>
      <c r="DT3" s="44">
        <f t="shared" si="13"/>
        <v>31</v>
      </c>
      <c r="DU3" s="44">
        <f t="shared" si="13"/>
        <v>30</v>
      </c>
      <c r="DV3" s="44">
        <f t="shared" si="13"/>
        <v>31</v>
      </c>
      <c r="DW3" s="44">
        <f t="shared" si="13"/>
        <v>31</v>
      </c>
      <c r="DX3" s="44">
        <f t="shared" si="13"/>
        <v>30</v>
      </c>
      <c r="DY3" s="44">
        <f t="shared" si="13"/>
        <v>31</v>
      </c>
      <c r="DZ3" s="44">
        <f t="shared" si="13"/>
        <v>30</v>
      </c>
      <c r="EA3" s="44">
        <f t="shared" si="13"/>
        <v>31</v>
      </c>
      <c r="EB3" s="44">
        <f t="shared" si="13"/>
        <v>31</v>
      </c>
      <c r="EC3" s="44">
        <f t="shared" ref="EC3:FH3" si="14">EC2-EB2</f>
        <v>28</v>
      </c>
      <c r="ED3" s="44">
        <f t="shared" si="14"/>
        <v>31</v>
      </c>
      <c r="EE3" s="44">
        <f t="shared" si="14"/>
        <v>30</v>
      </c>
      <c r="EF3" s="44">
        <f t="shared" si="14"/>
        <v>31</v>
      </c>
      <c r="EG3" s="44">
        <f t="shared" si="14"/>
        <v>30</v>
      </c>
      <c r="EH3" s="44">
        <f t="shared" si="14"/>
        <v>31</v>
      </c>
      <c r="EI3" s="44">
        <f t="shared" si="14"/>
        <v>31</v>
      </c>
      <c r="EJ3" s="44">
        <f t="shared" si="14"/>
        <v>30</v>
      </c>
      <c r="EK3" s="44">
        <f t="shared" si="14"/>
        <v>31</v>
      </c>
      <c r="EL3" s="44">
        <f t="shared" si="14"/>
        <v>30</v>
      </c>
      <c r="EM3" s="44">
        <f t="shared" si="14"/>
        <v>31</v>
      </c>
      <c r="EN3" s="44">
        <f t="shared" si="14"/>
        <v>31</v>
      </c>
      <c r="EO3" s="44">
        <f t="shared" si="14"/>
        <v>28</v>
      </c>
      <c r="EP3" s="44">
        <f t="shared" si="14"/>
        <v>31</v>
      </c>
      <c r="EQ3" s="44">
        <f t="shared" si="14"/>
        <v>30</v>
      </c>
      <c r="ER3" s="44">
        <f t="shared" si="14"/>
        <v>31</v>
      </c>
      <c r="ES3" s="44">
        <f t="shared" si="14"/>
        <v>30</v>
      </c>
      <c r="ET3" s="44">
        <f t="shared" si="14"/>
        <v>31</v>
      </c>
      <c r="EU3" s="44">
        <f t="shared" si="14"/>
        <v>31</v>
      </c>
      <c r="EV3" s="44">
        <f t="shared" si="14"/>
        <v>30</v>
      </c>
      <c r="EW3" s="44">
        <f t="shared" si="14"/>
        <v>31</v>
      </c>
      <c r="EX3" s="44">
        <f t="shared" si="14"/>
        <v>30</v>
      </c>
      <c r="EY3" s="44">
        <f t="shared" si="14"/>
        <v>31</v>
      </c>
      <c r="EZ3" s="44">
        <f t="shared" si="14"/>
        <v>31</v>
      </c>
      <c r="FA3" s="44">
        <f t="shared" si="14"/>
        <v>28</v>
      </c>
      <c r="FB3" s="44">
        <f t="shared" si="14"/>
        <v>31</v>
      </c>
      <c r="FC3" s="44">
        <f t="shared" si="14"/>
        <v>30</v>
      </c>
      <c r="FD3" s="44">
        <f t="shared" si="14"/>
        <v>31</v>
      </c>
      <c r="FE3" s="44">
        <f t="shared" si="14"/>
        <v>30</v>
      </c>
      <c r="FF3" s="44">
        <f t="shared" si="14"/>
        <v>31</v>
      </c>
      <c r="FG3" s="44">
        <f t="shared" si="14"/>
        <v>31</v>
      </c>
      <c r="FH3" s="44">
        <f t="shared" si="14"/>
        <v>30</v>
      </c>
      <c r="FI3" s="44">
        <f t="shared" ref="FI3:FK3" si="15">FI2-FH2</f>
        <v>31</v>
      </c>
      <c r="FJ3" s="44">
        <f t="shared" si="15"/>
        <v>30</v>
      </c>
      <c r="FK3" s="44">
        <f t="shared" si="15"/>
        <v>31</v>
      </c>
    </row>
    <row r="4" spans="1:167" x14ac:dyDescent="0.35">
      <c r="A4" s="51"/>
      <c r="B4" s="51" t="s">
        <v>67</v>
      </c>
      <c r="C4" s="48"/>
      <c r="D4" s="48"/>
      <c r="E4" s="44">
        <f>NETWORKDAYS.INTL(in_data_inicio,E2,1,feriado)</f>
        <v>5</v>
      </c>
      <c r="F4" s="44">
        <f t="shared" ref="F4:AJ4" si="16">NETWORKDAYS.INTL(E2,F2,1,feriado)</f>
        <v>24</v>
      </c>
      <c r="G4" s="44">
        <f t="shared" si="16"/>
        <v>22</v>
      </c>
      <c r="H4" s="44">
        <f t="shared" si="16"/>
        <v>22</v>
      </c>
      <c r="I4" s="44">
        <f t="shared" si="16"/>
        <v>22</v>
      </c>
      <c r="J4" s="44">
        <f t="shared" si="16"/>
        <v>19</v>
      </c>
      <c r="K4" s="44">
        <f t="shared" si="16"/>
        <v>23</v>
      </c>
      <c r="L4" s="44">
        <f t="shared" si="16"/>
        <v>21</v>
      </c>
      <c r="M4" s="44">
        <f t="shared" si="16"/>
        <v>18</v>
      </c>
      <c r="N4" s="44">
        <f t="shared" si="16"/>
        <v>22</v>
      </c>
      <c r="O4" s="44">
        <f t="shared" si="16"/>
        <v>22</v>
      </c>
      <c r="P4" s="44">
        <f t="shared" si="16"/>
        <v>21</v>
      </c>
      <c r="Q4" s="44">
        <f t="shared" si="16"/>
        <v>23</v>
      </c>
      <c r="R4" s="44">
        <f t="shared" si="16"/>
        <v>23</v>
      </c>
      <c r="S4" s="44">
        <f t="shared" si="16"/>
        <v>22</v>
      </c>
      <c r="T4" s="44">
        <f t="shared" si="16"/>
        <v>22</v>
      </c>
      <c r="U4" s="44">
        <f t="shared" si="16"/>
        <v>21</v>
      </c>
      <c r="V4" s="44">
        <f t="shared" si="16"/>
        <v>20</v>
      </c>
      <c r="W4" s="44">
        <f t="shared" si="16"/>
        <v>24</v>
      </c>
      <c r="X4" s="44">
        <f t="shared" si="16"/>
        <v>22</v>
      </c>
      <c r="Y4" s="44">
        <f t="shared" si="16"/>
        <v>20</v>
      </c>
      <c r="Z4" s="44">
        <f t="shared" si="16"/>
        <v>23</v>
      </c>
      <c r="AA4" s="44">
        <f t="shared" si="16"/>
        <v>19</v>
      </c>
      <c r="AB4" s="44">
        <f t="shared" si="16"/>
        <v>22</v>
      </c>
      <c r="AC4" s="44">
        <f t="shared" si="16"/>
        <v>22</v>
      </c>
      <c r="AD4" s="44">
        <f t="shared" si="16"/>
        <v>22</v>
      </c>
      <c r="AE4" s="44">
        <f t="shared" si="16"/>
        <v>24</v>
      </c>
      <c r="AF4" s="44">
        <f t="shared" si="16"/>
        <v>21</v>
      </c>
      <c r="AG4" s="44">
        <f t="shared" si="16"/>
        <v>21</v>
      </c>
      <c r="AH4" s="44">
        <f t="shared" si="16"/>
        <v>20</v>
      </c>
      <c r="AI4" s="44">
        <f t="shared" si="16"/>
        <v>21</v>
      </c>
      <c r="AJ4" s="44">
        <f t="shared" si="16"/>
        <v>22</v>
      </c>
      <c r="AK4" s="44">
        <f t="shared" ref="AK4:BP4" si="17">NETWORKDAYS.INTL(AJ2,AK2,1,feriado)</f>
        <v>19</v>
      </c>
      <c r="AL4" s="44">
        <f t="shared" si="17"/>
        <v>22</v>
      </c>
      <c r="AM4" s="44">
        <f t="shared" si="17"/>
        <v>21</v>
      </c>
      <c r="AN4" s="44">
        <f t="shared" si="17"/>
        <v>22</v>
      </c>
      <c r="AO4" s="44">
        <f t="shared" si="17"/>
        <v>21</v>
      </c>
      <c r="AP4" s="44">
        <f t="shared" si="17"/>
        <v>22</v>
      </c>
      <c r="AQ4" s="44">
        <f t="shared" si="17"/>
        <v>24</v>
      </c>
      <c r="AR4" s="44">
        <f t="shared" si="17"/>
        <v>20</v>
      </c>
      <c r="AS4" s="44">
        <f t="shared" si="17"/>
        <v>22</v>
      </c>
      <c r="AT4" s="44">
        <f t="shared" si="17"/>
        <v>20</v>
      </c>
      <c r="AU4" s="44">
        <f t="shared" si="17"/>
        <v>21</v>
      </c>
      <c r="AV4" s="44">
        <f t="shared" si="17"/>
        <v>23</v>
      </c>
      <c r="AW4" s="44">
        <f t="shared" si="17"/>
        <v>21</v>
      </c>
      <c r="AX4" s="44">
        <f t="shared" si="17"/>
        <v>20</v>
      </c>
      <c r="AY4" s="44">
        <f t="shared" si="17"/>
        <v>21</v>
      </c>
      <c r="AZ4" s="44">
        <f t="shared" si="17"/>
        <v>23</v>
      </c>
      <c r="BA4" s="44">
        <f t="shared" si="17"/>
        <v>20</v>
      </c>
      <c r="BB4" s="44">
        <f t="shared" si="17"/>
        <v>23</v>
      </c>
      <c r="BC4" s="44">
        <f t="shared" si="17"/>
        <v>23</v>
      </c>
      <c r="BD4" s="44">
        <f t="shared" si="17"/>
        <v>21</v>
      </c>
      <c r="BE4" s="44">
        <f t="shared" si="17"/>
        <v>24</v>
      </c>
      <c r="BF4" s="44">
        <f t="shared" si="17"/>
        <v>20</v>
      </c>
      <c r="BG4" s="44">
        <f t="shared" si="17"/>
        <v>21</v>
      </c>
      <c r="BH4" s="44">
        <f t="shared" si="17"/>
        <v>23</v>
      </c>
      <c r="BI4" s="44">
        <f t="shared" si="17"/>
        <v>19</v>
      </c>
      <c r="BJ4" s="44">
        <f t="shared" si="17"/>
        <v>22</v>
      </c>
      <c r="BK4" s="44">
        <f t="shared" si="17"/>
        <v>21</v>
      </c>
      <c r="BL4" s="44">
        <f t="shared" si="17"/>
        <v>22</v>
      </c>
      <c r="BM4" s="44">
        <f t="shared" si="17"/>
        <v>20</v>
      </c>
      <c r="BN4" s="44">
        <f t="shared" si="17"/>
        <v>24</v>
      </c>
      <c r="BO4" s="44">
        <f t="shared" si="17"/>
        <v>22</v>
      </c>
      <c r="BP4" s="44">
        <f t="shared" si="17"/>
        <v>22</v>
      </c>
      <c r="BQ4" s="44">
        <f t="shared" ref="BQ4:CV4" si="18">NETWORKDAYS.INTL(BP2,BQ2,1,feriado)</f>
        <v>24</v>
      </c>
      <c r="BR4" s="44">
        <f t="shared" si="18"/>
        <v>20</v>
      </c>
      <c r="BS4" s="44">
        <f t="shared" si="18"/>
        <v>22</v>
      </c>
      <c r="BT4" s="44">
        <f t="shared" si="18"/>
        <v>22</v>
      </c>
      <c r="BU4" s="44">
        <f t="shared" si="18"/>
        <v>18</v>
      </c>
      <c r="BV4" s="44">
        <f t="shared" si="18"/>
        <v>22</v>
      </c>
      <c r="BW4" s="44">
        <f t="shared" si="18"/>
        <v>22</v>
      </c>
      <c r="BX4" s="44">
        <f t="shared" si="18"/>
        <v>21</v>
      </c>
      <c r="BY4" s="44">
        <f t="shared" si="18"/>
        <v>23</v>
      </c>
      <c r="BZ4" s="44">
        <f t="shared" si="18"/>
        <v>23</v>
      </c>
      <c r="CA4" s="44">
        <f t="shared" si="18"/>
        <v>22</v>
      </c>
      <c r="CB4" s="44">
        <f t="shared" si="18"/>
        <v>22</v>
      </c>
      <c r="CC4" s="44">
        <f t="shared" si="18"/>
        <v>21</v>
      </c>
      <c r="CD4" s="44">
        <f t="shared" si="18"/>
        <v>20</v>
      </c>
      <c r="CE4" s="44">
        <f t="shared" si="18"/>
        <v>24</v>
      </c>
      <c r="CF4" s="44">
        <f t="shared" si="18"/>
        <v>22</v>
      </c>
      <c r="CG4" s="44">
        <f t="shared" si="18"/>
        <v>20</v>
      </c>
      <c r="CH4" s="44">
        <f t="shared" si="18"/>
        <v>22</v>
      </c>
      <c r="CI4" s="44">
        <f t="shared" si="18"/>
        <v>20</v>
      </c>
      <c r="CJ4" s="44">
        <f t="shared" si="18"/>
        <v>22</v>
      </c>
      <c r="CK4" s="44">
        <f t="shared" si="18"/>
        <v>22</v>
      </c>
      <c r="CL4" s="44">
        <f t="shared" si="18"/>
        <v>22</v>
      </c>
      <c r="CM4" s="44">
        <f t="shared" si="18"/>
        <v>23</v>
      </c>
      <c r="CN4" s="44">
        <f t="shared" si="18"/>
        <v>22</v>
      </c>
      <c r="CO4" s="44">
        <f t="shared" si="18"/>
        <v>21</v>
      </c>
      <c r="CP4" s="44">
        <f t="shared" si="18"/>
        <v>21</v>
      </c>
      <c r="CQ4" s="44">
        <f t="shared" si="18"/>
        <v>23</v>
      </c>
      <c r="CR4" s="44">
        <f t="shared" si="18"/>
        <v>22</v>
      </c>
      <c r="CS4" s="44">
        <f t="shared" si="18"/>
        <v>19</v>
      </c>
      <c r="CT4" s="44">
        <f t="shared" si="18"/>
        <v>24</v>
      </c>
      <c r="CU4" s="44">
        <f t="shared" si="18"/>
        <v>19</v>
      </c>
      <c r="CV4" s="44">
        <f t="shared" si="18"/>
        <v>22</v>
      </c>
      <c r="CW4" s="44">
        <f t="shared" ref="CW4:EB4" si="19">NETWORKDAYS.INTL(CV2,CW2,1,feriado)</f>
        <v>22</v>
      </c>
      <c r="CX4" s="44">
        <f t="shared" si="19"/>
        <v>22</v>
      </c>
      <c r="CY4" s="44">
        <f t="shared" si="19"/>
        <v>24</v>
      </c>
      <c r="CZ4" s="44">
        <f t="shared" si="19"/>
        <v>21</v>
      </c>
      <c r="DA4" s="44">
        <f t="shared" si="19"/>
        <v>21</v>
      </c>
      <c r="DB4" s="44">
        <f t="shared" si="19"/>
        <v>20</v>
      </c>
      <c r="DC4" s="44">
        <f t="shared" si="19"/>
        <v>21</v>
      </c>
      <c r="DD4" s="44">
        <f t="shared" si="19"/>
        <v>22</v>
      </c>
      <c r="DE4" s="44">
        <f t="shared" si="19"/>
        <v>19</v>
      </c>
      <c r="DF4" s="44">
        <f t="shared" si="19"/>
        <v>22</v>
      </c>
      <c r="DG4" s="44">
        <f t="shared" si="19"/>
        <v>21</v>
      </c>
      <c r="DH4" s="44">
        <f t="shared" si="19"/>
        <v>22</v>
      </c>
      <c r="DI4" s="44">
        <f t="shared" si="19"/>
        <v>22</v>
      </c>
      <c r="DJ4" s="44">
        <f t="shared" si="19"/>
        <v>22</v>
      </c>
      <c r="DK4" s="44">
        <f t="shared" si="19"/>
        <v>24</v>
      </c>
      <c r="DL4" s="44">
        <f t="shared" si="19"/>
        <v>20</v>
      </c>
      <c r="DM4" s="44">
        <f t="shared" si="19"/>
        <v>22</v>
      </c>
      <c r="DN4" s="44">
        <f t="shared" si="19"/>
        <v>20</v>
      </c>
      <c r="DO4" s="44">
        <f t="shared" si="19"/>
        <v>21</v>
      </c>
      <c r="DP4" s="44">
        <f t="shared" si="19"/>
        <v>23</v>
      </c>
      <c r="DQ4" s="44">
        <f t="shared" si="19"/>
        <v>20</v>
      </c>
      <c r="DR4" s="44">
        <f t="shared" si="19"/>
        <v>22</v>
      </c>
      <c r="DS4" s="44">
        <f t="shared" si="19"/>
        <v>21</v>
      </c>
      <c r="DT4" s="44">
        <f t="shared" si="19"/>
        <v>22</v>
      </c>
      <c r="DU4" s="44">
        <f t="shared" si="19"/>
        <v>20</v>
      </c>
      <c r="DV4" s="44">
        <f t="shared" si="19"/>
        <v>24</v>
      </c>
      <c r="DW4" s="44">
        <f t="shared" si="19"/>
        <v>22</v>
      </c>
      <c r="DX4" s="44">
        <f t="shared" si="19"/>
        <v>22</v>
      </c>
      <c r="DY4" s="44">
        <f t="shared" si="19"/>
        <v>24</v>
      </c>
      <c r="DZ4" s="44">
        <f t="shared" si="19"/>
        <v>20</v>
      </c>
      <c r="EA4" s="44">
        <f t="shared" si="19"/>
        <v>22</v>
      </c>
      <c r="EB4" s="44">
        <f t="shared" si="19"/>
        <v>22</v>
      </c>
      <c r="EC4" s="44">
        <f t="shared" ref="EC4:FK4" si="20">NETWORKDAYS.INTL(EB2,EC2,1,feriado)</f>
        <v>18</v>
      </c>
      <c r="ED4" s="44">
        <f t="shared" si="20"/>
        <v>22</v>
      </c>
      <c r="EE4" s="44">
        <f t="shared" si="20"/>
        <v>21</v>
      </c>
      <c r="EF4" s="44">
        <f t="shared" si="20"/>
        <v>21</v>
      </c>
      <c r="EG4" s="44">
        <f t="shared" si="20"/>
        <v>21</v>
      </c>
      <c r="EH4" s="44">
        <f t="shared" si="20"/>
        <v>24</v>
      </c>
      <c r="EI4" s="44">
        <f t="shared" si="20"/>
        <v>22</v>
      </c>
      <c r="EJ4" s="44">
        <f t="shared" si="20"/>
        <v>22</v>
      </c>
      <c r="EK4" s="44">
        <f t="shared" si="20"/>
        <v>22</v>
      </c>
      <c r="EL4" s="44">
        <f t="shared" si="20"/>
        <v>19</v>
      </c>
      <c r="EM4" s="44">
        <f t="shared" si="20"/>
        <v>23</v>
      </c>
      <c r="EN4" s="44">
        <f t="shared" si="20"/>
        <v>21</v>
      </c>
      <c r="EO4" s="44">
        <f t="shared" si="20"/>
        <v>20</v>
      </c>
      <c r="EP4" s="44">
        <f t="shared" si="20"/>
        <v>21</v>
      </c>
      <c r="EQ4" s="44">
        <f t="shared" si="20"/>
        <v>21</v>
      </c>
      <c r="ER4" s="44">
        <f t="shared" si="20"/>
        <v>22</v>
      </c>
      <c r="ES4" s="44">
        <f t="shared" si="20"/>
        <v>22</v>
      </c>
      <c r="ET4" s="44">
        <f t="shared" si="20"/>
        <v>23</v>
      </c>
      <c r="EU4" s="44">
        <f t="shared" si="20"/>
        <v>22</v>
      </c>
      <c r="EV4" s="44">
        <f t="shared" si="20"/>
        <v>22</v>
      </c>
      <c r="EW4" s="44">
        <f t="shared" si="20"/>
        <v>21</v>
      </c>
      <c r="EX4" s="44">
        <f t="shared" si="20"/>
        <v>20</v>
      </c>
      <c r="EY4" s="44">
        <f t="shared" si="20"/>
        <v>24</v>
      </c>
      <c r="EZ4" s="44">
        <f t="shared" si="20"/>
        <v>22</v>
      </c>
      <c r="FA4" s="44">
        <f t="shared" si="20"/>
        <v>19</v>
      </c>
      <c r="FB4" s="44">
        <f t="shared" si="20"/>
        <v>24</v>
      </c>
      <c r="FC4" s="44">
        <f t="shared" si="20"/>
        <v>20</v>
      </c>
      <c r="FD4" s="44">
        <f t="shared" si="20"/>
        <v>22</v>
      </c>
      <c r="FE4" s="44">
        <f t="shared" si="20"/>
        <v>22</v>
      </c>
      <c r="FF4" s="44">
        <f t="shared" si="20"/>
        <v>22</v>
      </c>
      <c r="FG4" s="44">
        <f t="shared" si="20"/>
        <v>23</v>
      </c>
      <c r="FH4" s="44">
        <f t="shared" si="20"/>
        <v>22</v>
      </c>
      <c r="FI4" s="44">
        <f t="shared" si="20"/>
        <v>21</v>
      </c>
      <c r="FJ4" s="44">
        <f t="shared" si="20"/>
        <v>21</v>
      </c>
      <c r="FK4" s="44">
        <f t="shared" si="20"/>
        <v>23</v>
      </c>
    </row>
    <row r="5" spans="1:167" hidden="1" x14ac:dyDescent="0.35">
      <c r="B5" s="45" t="s">
        <v>68</v>
      </c>
      <c r="C5" s="45"/>
      <c r="D5" s="45"/>
      <c r="E5" s="52">
        <f>(E2-Aux!$G$2)/360</f>
        <v>1.6666666666666666E-2</v>
      </c>
      <c r="F5" s="52">
        <f>(F2-Aux!$G$2)/360</f>
        <v>0.10277777777777777</v>
      </c>
      <c r="G5" s="52">
        <f>(G2-Aux!$G$2)/360</f>
        <v>0.18888888888888888</v>
      </c>
      <c r="H5" s="52">
        <f>(H2-Aux!$G$2)/360</f>
        <v>0.2722222222222222</v>
      </c>
      <c r="I5" s="52">
        <f>(I2-Aux!$G$2)/360</f>
        <v>0.35833333333333334</v>
      </c>
      <c r="J5" s="52">
        <f>(J2-Aux!$G$2)/360</f>
        <v>0.44166666666666665</v>
      </c>
      <c r="K5" s="52">
        <f>(K2-Aux!$G$2)/360</f>
        <v>0.52777777777777779</v>
      </c>
      <c r="L5" s="52">
        <f>(L2-Aux!$G$2)/360</f>
        <v>0.61388888888888893</v>
      </c>
      <c r="M5" s="52">
        <f>(M2-Aux!$G$2)/360</f>
        <v>0.69166666666666665</v>
      </c>
      <c r="N5" s="52">
        <f>(N2-Aux!$G$2)/360</f>
        <v>0.77777777777777779</v>
      </c>
      <c r="O5" s="52">
        <f>(O2-Aux!$G$2)/360</f>
        <v>0.86111111111111116</v>
      </c>
      <c r="P5" s="52">
        <f>(P2-Aux!$G$2)/360</f>
        <v>0.94722222222222219</v>
      </c>
      <c r="Q5" s="52">
        <f>(Q2-Aux!$G$2)/360</f>
        <v>1.0305555555555554</v>
      </c>
      <c r="R5" s="52">
        <f>(R2-Aux!$G$2)/360</f>
        <v>1.1166666666666667</v>
      </c>
      <c r="S5" s="52">
        <f>(S2-Aux!$G$2)/360</f>
        <v>1.2027777777777777</v>
      </c>
      <c r="T5" s="52">
        <f>(T2-Aux!$G$2)/360</f>
        <v>1.2861111111111112</v>
      </c>
      <c r="U5" s="52">
        <f>(U2-Aux!$G$2)/360</f>
        <v>1.3722222222222222</v>
      </c>
      <c r="V5" s="52">
        <f>(V2-Aux!$G$2)/360</f>
        <v>1.4555555555555555</v>
      </c>
      <c r="W5" s="52">
        <f>(W2-Aux!$G$2)/360</f>
        <v>1.5416666666666667</v>
      </c>
      <c r="X5" s="52">
        <f>(X2-Aux!$G$2)/360</f>
        <v>1.6277777777777778</v>
      </c>
      <c r="Y5" s="52">
        <f>(Y2-Aux!$G$2)/360</f>
        <v>1.7083333333333333</v>
      </c>
      <c r="Z5" s="52">
        <f>(Z2-Aux!$G$2)/360</f>
        <v>1.7944444444444445</v>
      </c>
      <c r="AA5" s="52">
        <f>(AA2-Aux!$G$2)/360</f>
        <v>1.8777777777777778</v>
      </c>
      <c r="AB5" s="52">
        <f>(AB2-Aux!$G$2)/360</f>
        <v>1.9638888888888888</v>
      </c>
      <c r="AC5" s="52">
        <f>(AC2-Aux!$G$2)/360</f>
        <v>2.0472222222222221</v>
      </c>
      <c r="AD5" s="52">
        <f>(AD2-Aux!$G$2)/360</f>
        <v>2.1333333333333333</v>
      </c>
      <c r="AE5" s="52">
        <f>(AE2-Aux!$G$2)/360</f>
        <v>2.2194444444444446</v>
      </c>
      <c r="AF5" s="52">
        <f>(AF2-Aux!$G$2)/360</f>
        <v>2.3027777777777776</v>
      </c>
      <c r="AG5" s="52">
        <f>(AG2-Aux!$G$2)/360</f>
        <v>2.3888888888888888</v>
      </c>
      <c r="AH5" s="52">
        <f>(AH2-Aux!$G$2)/360</f>
        <v>2.4722222222222223</v>
      </c>
      <c r="AI5" s="52">
        <f>(AI2-Aux!$G$2)/360</f>
        <v>2.5583333333333331</v>
      </c>
      <c r="AJ5" s="52">
        <f>(AJ2-Aux!$G$2)/360</f>
        <v>2.6444444444444444</v>
      </c>
      <c r="AK5" s="52">
        <f>(AK2-Aux!$G$2)/360</f>
        <v>2.7222222222222223</v>
      </c>
      <c r="AL5" s="52">
        <f>(AL2-Aux!$G$2)/360</f>
        <v>2.8083333333333331</v>
      </c>
      <c r="AM5" s="52">
        <f>(AM2-Aux!$G$2)/360</f>
        <v>2.8916666666666666</v>
      </c>
      <c r="AN5" s="52">
        <f>(AN2-Aux!$G$2)/360</f>
        <v>2.9777777777777779</v>
      </c>
      <c r="AO5" s="52">
        <f>(AO2-Aux!$G$2)/360</f>
        <v>3.0611111111111109</v>
      </c>
      <c r="AP5" s="52">
        <f>(AP2-Aux!$G$2)/360</f>
        <v>3.1472222222222221</v>
      </c>
      <c r="AQ5" s="52">
        <f>(AQ2-Aux!$G$2)/360</f>
        <v>3.2333333333333334</v>
      </c>
      <c r="AR5" s="52">
        <f>(AR2-Aux!$G$2)/360</f>
        <v>3.3166666666666669</v>
      </c>
      <c r="AS5" s="52">
        <f>(AS2-Aux!$G$2)/360</f>
        <v>3.4027777777777777</v>
      </c>
      <c r="AT5" s="52">
        <f>(AT2-Aux!$G$2)/360</f>
        <v>3.4861111111111112</v>
      </c>
      <c r="AU5" s="52">
        <f>(AU2-Aux!$G$2)/360</f>
        <v>3.5722222222222224</v>
      </c>
      <c r="AV5" s="52">
        <f>(AV2-Aux!$G$2)/360</f>
        <v>3.6583333333333332</v>
      </c>
      <c r="AW5" s="52">
        <f>(AW2-Aux!$G$2)/360</f>
        <v>3.7361111111111112</v>
      </c>
      <c r="AX5" s="52">
        <f>(AX2-Aux!$G$2)/360</f>
        <v>3.8222222222222224</v>
      </c>
      <c r="AY5" s="52">
        <f>(AY2-Aux!$G$2)/360</f>
        <v>3.9055555555555554</v>
      </c>
      <c r="AZ5" s="52">
        <f>(AZ2-Aux!$G$2)/360</f>
        <v>3.9916666666666667</v>
      </c>
      <c r="BA5" s="52">
        <f>(BA2-Aux!$G$2)/360</f>
        <v>4.0750000000000002</v>
      </c>
      <c r="BB5" s="52">
        <f>(BB2-Aux!$G$2)/360</f>
        <v>4.1611111111111114</v>
      </c>
      <c r="BC5" s="52">
        <f>(BC2-Aux!$G$2)/360</f>
        <v>4.2472222222222218</v>
      </c>
      <c r="BD5" s="52">
        <f>(BD2-Aux!$G$2)/360</f>
        <v>4.3305555555555557</v>
      </c>
      <c r="BE5" s="52">
        <f>(BE2-Aux!$G$2)/360</f>
        <v>4.416666666666667</v>
      </c>
      <c r="BF5" s="52">
        <f>(BF2-Aux!$G$2)/360</f>
        <v>4.5</v>
      </c>
      <c r="BG5" s="52">
        <f>(BG2-Aux!$G$2)/360</f>
        <v>4.5861111111111112</v>
      </c>
      <c r="BH5" s="52">
        <f>(BH2-Aux!$G$2)/360</f>
        <v>4.6722222222222225</v>
      </c>
      <c r="BI5" s="52">
        <f>(BI2-Aux!$G$2)/360</f>
        <v>4.75</v>
      </c>
      <c r="BJ5" s="52">
        <f>(BJ2-Aux!$G$2)/360</f>
        <v>4.8361111111111112</v>
      </c>
      <c r="BK5" s="52">
        <f>(BK2-Aux!$G$2)/360</f>
        <v>4.9194444444444443</v>
      </c>
      <c r="BL5" s="52">
        <f>(BL2-Aux!$G$2)/360</f>
        <v>5.0055555555555555</v>
      </c>
      <c r="BM5" s="52">
        <f>(BM2-Aux!$G$2)/360</f>
        <v>5.0888888888888886</v>
      </c>
      <c r="BN5" s="52">
        <f>(BN2-Aux!$G$2)/360</f>
        <v>5.1749999999999998</v>
      </c>
      <c r="BO5" s="52">
        <f>(BO2-Aux!$G$2)/360</f>
        <v>5.2611111111111111</v>
      </c>
      <c r="BP5" s="52">
        <f>(BP2-Aux!$G$2)/360</f>
        <v>5.3444444444444441</v>
      </c>
      <c r="BQ5" s="52">
        <f>(BQ2-Aux!$G$2)/360</f>
        <v>5.4305555555555554</v>
      </c>
      <c r="BR5" s="52">
        <f>(BR2-Aux!$G$2)/360</f>
        <v>5.5138888888888893</v>
      </c>
      <c r="BS5" s="52">
        <f>(BS2-Aux!$G$2)/360</f>
        <v>5.6</v>
      </c>
      <c r="BT5" s="52">
        <f>(BT2-Aux!$G$2)/360</f>
        <v>5.6861111111111109</v>
      </c>
      <c r="BU5" s="52">
        <f>(BU2-Aux!$G$2)/360</f>
        <v>5.7666666666666666</v>
      </c>
      <c r="BV5" s="52">
        <f>(BV2-Aux!$G$2)/360</f>
        <v>5.8527777777777779</v>
      </c>
      <c r="BW5" s="52">
        <f>(BW2-Aux!$G$2)/360</f>
        <v>5.9361111111111109</v>
      </c>
      <c r="BX5" s="52">
        <f>(BX2-Aux!$G$2)/360</f>
        <v>6.0222222222222221</v>
      </c>
      <c r="BY5" s="52">
        <f>(BY2-Aux!$G$2)/360</f>
        <v>6.1055555555555552</v>
      </c>
      <c r="BZ5" s="52">
        <f>(BZ2-Aux!$G$2)/360</f>
        <v>6.1916666666666664</v>
      </c>
      <c r="CA5" s="52">
        <f>(CA2-Aux!$G$2)/360</f>
        <v>6.2777777777777777</v>
      </c>
      <c r="CB5" s="52">
        <f>(CB2-Aux!$G$2)/360</f>
        <v>6.3611111111111107</v>
      </c>
      <c r="CC5" s="52">
        <f>(CC2-Aux!$G$2)/360</f>
        <v>6.447222222222222</v>
      </c>
      <c r="CD5" s="52">
        <f>(CD2-Aux!$G$2)/360</f>
        <v>6.5305555555555559</v>
      </c>
      <c r="CE5" s="52">
        <f>(CE2-Aux!$G$2)/360</f>
        <v>6.6166666666666663</v>
      </c>
      <c r="CF5" s="52">
        <f>(CF2-Aux!$G$2)/360</f>
        <v>6.7027777777777775</v>
      </c>
      <c r="CG5" s="52">
        <f>(CG2-Aux!$G$2)/360</f>
        <v>6.7805555555555559</v>
      </c>
      <c r="CH5" s="52">
        <f>(CH2-Aux!$G$2)/360</f>
        <v>6.8666666666666663</v>
      </c>
      <c r="CI5" s="52">
        <f>(CI2-Aux!$G$2)/360</f>
        <v>6.95</v>
      </c>
      <c r="CJ5" s="52">
        <f>(CJ2-Aux!$G$2)/360</f>
        <v>7.0361111111111114</v>
      </c>
      <c r="CK5" s="52">
        <f>(CK2-Aux!$G$2)/360</f>
        <v>7.1194444444444445</v>
      </c>
      <c r="CL5" s="52">
        <f>(CL2-Aux!$G$2)/360</f>
        <v>7.2055555555555557</v>
      </c>
      <c r="CM5" s="52">
        <f>(CM2-Aux!$G$2)/360</f>
        <v>7.291666666666667</v>
      </c>
      <c r="CN5" s="52">
        <f>(CN2-Aux!$G$2)/360</f>
        <v>7.375</v>
      </c>
      <c r="CO5" s="52">
        <f>(CO2-Aux!$G$2)/360</f>
        <v>7.4611111111111112</v>
      </c>
      <c r="CP5" s="52">
        <f>(CP2-Aux!$G$2)/360</f>
        <v>7.5444444444444443</v>
      </c>
      <c r="CQ5" s="52">
        <f>(CQ2-Aux!$G$2)/360</f>
        <v>7.6305555555555555</v>
      </c>
      <c r="CR5" s="52">
        <f>(CR2-Aux!$G$2)/360</f>
        <v>7.7166666666666668</v>
      </c>
      <c r="CS5" s="52">
        <f>(CS2-Aux!$G$2)/360</f>
        <v>7.7944444444444443</v>
      </c>
      <c r="CT5" s="52">
        <f>(CT2-Aux!$G$2)/360</f>
        <v>7.8805555555555555</v>
      </c>
      <c r="CU5" s="52">
        <f>(CU2-Aux!$G$2)/360</f>
        <v>7.9638888888888886</v>
      </c>
      <c r="CV5" s="52">
        <f>(CV2-Aux!$G$2)/360</f>
        <v>8.0500000000000007</v>
      </c>
      <c r="CW5" s="52">
        <f>(CW2-Aux!$G$2)/360</f>
        <v>8.1333333333333329</v>
      </c>
      <c r="CX5" s="52">
        <f>(CX2-Aux!$G$2)/360</f>
        <v>8.219444444444445</v>
      </c>
      <c r="CY5" s="52">
        <f>(CY2-Aux!$G$2)/360</f>
        <v>8.3055555555555554</v>
      </c>
      <c r="CZ5" s="52">
        <f>(CZ2-Aux!$G$2)/360</f>
        <v>8.3888888888888893</v>
      </c>
      <c r="DA5" s="52">
        <f>(DA2-Aux!$G$2)/360</f>
        <v>8.4749999999999996</v>
      </c>
      <c r="DB5" s="52">
        <f>(DB2-Aux!$G$2)/360</f>
        <v>8.5583333333333336</v>
      </c>
      <c r="DC5" s="52">
        <f>(DC2-Aux!$G$2)/360</f>
        <v>8.6444444444444439</v>
      </c>
      <c r="DD5" s="52">
        <f>(DD2-Aux!$G$2)/360</f>
        <v>8.7305555555555561</v>
      </c>
      <c r="DE5" s="52">
        <f>(DE2-Aux!$G$2)/360</f>
        <v>8.8083333333333336</v>
      </c>
      <c r="DF5" s="52">
        <f>(DF2-Aux!$G$2)/360</f>
        <v>8.8944444444444439</v>
      </c>
      <c r="DG5" s="52">
        <f>(DG2-Aux!$G$2)/360</f>
        <v>8.9777777777777779</v>
      </c>
      <c r="DH5" s="52">
        <f>(DH2-Aux!$G$2)/360</f>
        <v>9.0638888888888882</v>
      </c>
      <c r="DI5" s="52">
        <f>(DI2-Aux!$G$2)/360</f>
        <v>9.1472222222222221</v>
      </c>
      <c r="DJ5" s="52">
        <f>(DJ2-Aux!$G$2)/360</f>
        <v>9.2333333333333325</v>
      </c>
      <c r="DK5" s="52">
        <f>(DK2-Aux!$G$2)/360</f>
        <v>9.3194444444444446</v>
      </c>
      <c r="DL5" s="52">
        <f>(DL2-Aux!$G$2)/360</f>
        <v>9.4027777777777786</v>
      </c>
      <c r="DM5" s="52">
        <f>(DM2-Aux!$G$2)/360</f>
        <v>9.4888888888888889</v>
      </c>
      <c r="DN5" s="52">
        <f>(DN2-Aux!$G$2)/360</f>
        <v>9.5722222222222229</v>
      </c>
      <c r="DO5" s="52">
        <f>(DO2-Aux!$G$2)/360</f>
        <v>9.6583333333333332</v>
      </c>
      <c r="DP5" s="52">
        <f>(DP2-Aux!$G$2)/360</f>
        <v>9.7444444444444436</v>
      </c>
      <c r="DQ5" s="52">
        <f>(DQ2-Aux!$G$2)/360</f>
        <v>9.8249999999999993</v>
      </c>
      <c r="DR5" s="52">
        <f>(DR2-Aux!$G$2)/360</f>
        <v>9.9111111111111114</v>
      </c>
      <c r="DS5" s="52">
        <f>(DS2-Aux!$G$2)/360</f>
        <v>9.9944444444444436</v>
      </c>
      <c r="DT5" s="52">
        <f>(DT2-Aux!$G$2)/360</f>
        <v>10.080555555555556</v>
      </c>
      <c r="DU5" s="52">
        <f>(DU2-Aux!$G$2)/360</f>
        <v>10.16388888888889</v>
      </c>
      <c r="DV5" s="52">
        <f>(DV2-Aux!$G$2)/360</f>
        <v>10.25</v>
      </c>
      <c r="DW5" s="52">
        <f>(DW2-Aux!$G$2)/360</f>
        <v>10.33611111111111</v>
      </c>
      <c r="DX5" s="52">
        <f>(DX2-Aux!$G$2)/360</f>
        <v>10.419444444444444</v>
      </c>
      <c r="DY5" s="52">
        <f>(DY2-Aux!$G$2)/360</f>
        <v>10.505555555555556</v>
      </c>
      <c r="DZ5" s="52">
        <f>(DZ2-Aux!$G$2)/360</f>
        <v>10.588888888888889</v>
      </c>
      <c r="EA5" s="52">
        <f>(EA2-Aux!$G$2)/360</f>
        <v>10.675000000000001</v>
      </c>
      <c r="EB5" s="52">
        <f>(EB2-Aux!$G$2)/360</f>
        <v>10.761111111111111</v>
      </c>
      <c r="EC5" s="52">
        <f>(EC2-Aux!$G$2)/360</f>
        <v>10.838888888888889</v>
      </c>
      <c r="ED5" s="52">
        <f>(ED2-Aux!$G$2)/360</f>
        <v>10.925000000000001</v>
      </c>
      <c r="EE5" s="52">
        <f>(EE2-Aux!$G$2)/360</f>
        <v>11.008333333333333</v>
      </c>
      <c r="EF5" s="52">
        <f>(EF2-Aux!$G$2)/360</f>
        <v>11.094444444444445</v>
      </c>
      <c r="EG5" s="52">
        <f>(EG2-Aux!$G$2)/360</f>
        <v>11.177777777777777</v>
      </c>
      <c r="EH5" s="52">
        <f>(EH2-Aux!$G$2)/360</f>
        <v>11.263888888888889</v>
      </c>
      <c r="EI5" s="52">
        <f>(EI2-Aux!$G$2)/360</f>
        <v>11.35</v>
      </c>
      <c r="EJ5" s="52">
        <f>(EJ2-Aux!$G$2)/360</f>
        <v>11.433333333333334</v>
      </c>
      <c r="EK5" s="52">
        <f>(EK2-Aux!$G$2)/360</f>
        <v>11.519444444444444</v>
      </c>
      <c r="EL5" s="52">
        <f>(EL2-Aux!$G$2)/360</f>
        <v>11.602777777777778</v>
      </c>
      <c r="EM5" s="52">
        <f>(EM2-Aux!$G$2)/360</f>
        <v>11.688888888888888</v>
      </c>
      <c r="EN5" s="52">
        <f>(EN2-Aux!$G$2)/360</f>
        <v>11.775</v>
      </c>
      <c r="EO5" s="52">
        <f>(EO2-Aux!$G$2)/360</f>
        <v>11.852777777777778</v>
      </c>
      <c r="EP5" s="52">
        <f>(EP2-Aux!$G$2)/360</f>
        <v>11.938888888888888</v>
      </c>
      <c r="EQ5" s="52">
        <f>(EQ2-Aux!$G$2)/360</f>
        <v>12.022222222222222</v>
      </c>
      <c r="ER5" s="52">
        <f>(ER2-Aux!$G$2)/360</f>
        <v>12.108333333333333</v>
      </c>
      <c r="ES5" s="52">
        <f>(ES2-Aux!$G$2)/360</f>
        <v>12.191666666666666</v>
      </c>
      <c r="ET5" s="52">
        <f>(ET2-Aux!$G$2)/360</f>
        <v>12.277777777777779</v>
      </c>
      <c r="EU5" s="52">
        <f>(EU2-Aux!$G$2)/360</f>
        <v>12.363888888888889</v>
      </c>
      <c r="EV5" s="52">
        <f>(EV2-Aux!$G$2)/360</f>
        <v>12.447222222222223</v>
      </c>
      <c r="EW5" s="52">
        <f>(EW2-Aux!$G$2)/360</f>
        <v>12.533333333333333</v>
      </c>
      <c r="EX5" s="52">
        <f>(EX2-Aux!$G$2)/360</f>
        <v>12.616666666666667</v>
      </c>
      <c r="EY5" s="52">
        <f>(EY2-Aux!$G$2)/360</f>
        <v>12.702777777777778</v>
      </c>
      <c r="EZ5" s="52">
        <f>(EZ2-Aux!$G$2)/360</f>
        <v>12.78888888888889</v>
      </c>
      <c r="FA5" s="52">
        <f>(FA2-Aux!$G$2)/360</f>
        <v>12.866666666666667</v>
      </c>
      <c r="FB5" s="52">
        <f>(FB2-Aux!$G$2)/360</f>
        <v>12.952777777777778</v>
      </c>
      <c r="FC5" s="52">
        <f>(FC2-Aux!$G$2)/360</f>
        <v>13.036111111111111</v>
      </c>
      <c r="FD5" s="52">
        <f>(FD2-Aux!$G$2)/360</f>
        <v>13.122222222222222</v>
      </c>
      <c r="FE5" s="52">
        <f>(FE2-Aux!$G$2)/360</f>
        <v>13.205555555555556</v>
      </c>
      <c r="FF5" s="52">
        <f>(FF2-Aux!$G$2)/360</f>
        <v>13.291666666666666</v>
      </c>
      <c r="FG5" s="52">
        <f>(FG2-Aux!$G$2)/360</f>
        <v>13.377777777777778</v>
      </c>
      <c r="FH5" s="52">
        <f>(FH2-Aux!$G$2)/360</f>
        <v>13.46111111111111</v>
      </c>
      <c r="FI5" s="52">
        <f>(FI2-Aux!$G$2)/360</f>
        <v>13.547222222222222</v>
      </c>
      <c r="FJ5" s="52">
        <f>(FJ2-Aux!$G$2)/360</f>
        <v>13.630555555555556</v>
      </c>
      <c r="FK5" s="52">
        <f>(FK2-Aux!$G$2)/360</f>
        <v>13.716666666666667</v>
      </c>
    </row>
    <row r="6" spans="1:167" outlineLevel="1" x14ac:dyDescent="0.35">
      <c r="B6" s="2" t="s">
        <v>41</v>
      </c>
      <c r="E6" s="8">
        <f t="shared" ref="E6:AJ6" si="21">beta1_pre +beta2_pre* ((1 - EXP(-lambida1_pre * E$5)) / (lambida1_pre * E$5)) +beta3_pre * ((1 - EXP(-lambida1_pre * E$5)) / (lambida1_pre * E$5) - EXP(-lambida1_pre * E$5)) + beta4_pre* ((1 - EXP(-lambida2_pre * E$5)) / (lambida2_pre * E$5) - EXP(-lambida2_pre * E$5))</f>
        <v>0.140067213591893</v>
      </c>
      <c r="F6" s="8">
        <f t="shared" si="21"/>
        <v>0.13970278364214631</v>
      </c>
      <c r="G6" s="8">
        <f t="shared" si="21"/>
        <v>0.13950000206969104</v>
      </c>
      <c r="H6" s="8">
        <f t="shared" si="21"/>
        <v>0.13942302786088501</v>
      </c>
      <c r="I6" s="8">
        <f t="shared" si="21"/>
        <v>0.13943814781318675</v>
      </c>
      <c r="J6" s="8">
        <f t="shared" si="21"/>
        <v>0.13952253860316366</v>
      </c>
      <c r="K6" s="8">
        <f t="shared" si="21"/>
        <v>0.13966363064301254</v>
      </c>
      <c r="L6" s="8">
        <f t="shared" si="21"/>
        <v>0.13984481202917781</v>
      </c>
      <c r="M6" s="8">
        <f t="shared" si="21"/>
        <v>0.14003308974063888</v>
      </c>
      <c r="N6" s="8">
        <f t="shared" si="21"/>
        <v>0.14026019070996842</v>
      </c>
      <c r="O6" s="8">
        <f t="shared" si="21"/>
        <v>0.1404918848492808</v>
      </c>
      <c r="P6" s="8">
        <f t="shared" si="21"/>
        <v>0.14073794981974008</v>
      </c>
      <c r="Q6" s="8">
        <f t="shared" si="21"/>
        <v>0.14097828395000683</v>
      </c>
      <c r="R6" s="8">
        <f t="shared" si="21"/>
        <v>0.14122549619904481</v>
      </c>
      <c r="S6" s="8">
        <f t="shared" si="21"/>
        <v>0.1414689075797034</v>
      </c>
      <c r="T6" s="8">
        <f t="shared" si="21"/>
        <v>0.14169894285259088</v>
      </c>
      <c r="U6" s="8">
        <f t="shared" si="21"/>
        <v>0.14192948062084026</v>
      </c>
      <c r="V6" s="8">
        <f t="shared" si="21"/>
        <v>0.1421446381938227</v>
      </c>
      <c r="W6" s="8">
        <f t="shared" si="21"/>
        <v>0.14235802368072317</v>
      </c>
      <c r="X6" s="8">
        <f t="shared" si="21"/>
        <v>0.14256182826776509</v>
      </c>
      <c r="Y6" s="8">
        <f t="shared" si="21"/>
        <v>0.1427435498545605</v>
      </c>
      <c r="Z6" s="8">
        <f t="shared" si="21"/>
        <v>0.14292812522179005</v>
      </c>
      <c r="AA6" s="8">
        <f t="shared" si="21"/>
        <v>0.14309721185477731</v>
      </c>
      <c r="AB6" s="8">
        <f t="shared" si="21"/>
        <v>0.14326216123969396</v>
      </c>
      <c r="AC6" s="8">
        <f t="shared" si="21"/>
        <v>0.14341247479292163</v>
      </c>
      <c r="AD6" s="8">
        <f t="shared" si="21"/>
        <v>0.14355837613656336</v>
      </c>
      <c r="AE6" s="8">
        <f t="shared" si="21"/>
        <v>0.14369494632911134</v>
      </c>
      <c r="AF6" s="8">
        <f t="shared" si="21"/>
        <v>0.14381848769491332</v>
      </c>
      <c r="AG6" s="8">
        <f t="shared" si="21"/>
        <v>0.14393752542753008</v>
      </c>
      <c r="AH6" s="8">
        <f t="shared" si="21"/>
        <v>0.14404466805833824</v>
      </c>
      <c r="AI6" s="8">
        <f t="shared" si="21"/>
        <v>0.14414736646652831</v>
      </c>
      <c r="AJ6" s="8">
        <f t="shared" si="21"/>
        <v>0.14424223353655155</v>
      </c>
      <c r="AK6" s="8">
        <f t="shared" ref="AK6:BP6" si="22">beta1_pre +beta2_pre* ((1 - EXP(-lambida1_pre * AK$5)) / (lambida1_pre * AK$5)) +beta3_pre * ((1 - EXP(-lambida1_pre * AK$5)) / (lambida1_pre * AK$5) - EXP(-lambida1_pre * AK$5)) + beta4_pre* ((1 - EXP(-lambida2_pre * AK$5)) / (lambida2_pre * AK$5) - EXP(-lambida2_pre * AK$5))</f>
        <v>0.14432145362644</v>
      </c>
      <c r="AL6" s="8">
        <f t="shared" si="22"/>
        <v>0.14440229282395967</v>
      </c>
      <c r="AM6" s="8">
        <f t="shared" si="22"/>
        <v>0.1444739344698108</v>
      </c>
      <c r="AN6" s="8">
        <f t="shared" si="22"/>
        <v>0.14454145032544707</v>
      </c>
      <c r="AO6" s="8">
        <f t="shared" si="22"/>
        <v>0.14460076043372894</v>
      </c>
      <c r="AP6" s="8">
        <f t="shared" si="22"/>
        <v>0.14465609888348657</v>
      </c>
      <c r="AQ6" s="8">
        <f t="shared" si="22"/>
        <v>0.14470566696539242</v>
      </c>
      <c r="AR6" s="8">
        <f t="shared" si="22"/>
        <v>0.14474839586728555</v>
      </c>
      <c r="AS6" s="8">
        <f t="shared" si="22"/>
        <v>0.1447873874149066</v>
      </c>
      <c r="AT6" s="8">
        <f t="shared" si="22"/>
        <v>0.14482035966602033</v>
      </c>
      <c r="AU6" s="8">
        <f t="shared" si="22"/>
        <v>0.14484974574931919</v>
      </c>
      <c r="AV6" s="8">
        <f t="shared" si="22"/>
        <v>0.14487459939962077</v>
      </c>
      <c r="AW6" s="8">
        <f t="shared" si="22"/>
        <v>0.14489333778187266</v>
      </c>
      <c r="AX6" s="8">
        <f t="shared" si="22"/>
        <v>0.14491017369804204</v>
      </c>
      <c r="AY6" s="8">
        <f t="shared" si="22"/>
        <v>0.14492274183332465</v>
      </c>
      <c r="AZ6" s="8">
        <f t="shared" si="22"/>
        <v>0.14493207241421741</v>
      </c>
      <c r="BA6" s="8">
        <f t="shared" si="22"/>
        <v>0.14493774000791179</v>
      </c>
      <c r="BB6" s="8">
        <f t="shared" si="22"/>
        <v>0.14494029922463694</v>
      </c>
      <c r="BC6" s="8">
        <f t="shared" si="22"/>
        <v>0.14493967918302508</v>
      </c>
      <c r="BD6" s="8">
        <f t="shared" si="22"/>
        <v>0.14493620902258583</v>
      </c>
      <c r="BE6" s="8">
        <f t="shared" si="22"/>
        <v>0.14492981266784433</v>
      </c>
      <c r="BF6" s="8">
        <f t="shared" si="22"/>
        <v>0.14492104509101961</v>
      </c>
      <c r="BG6" s="8">
        <f t="shared" si="22"/>
        <v>0.14490946409951222</v>
      </c>
      <c r="BH6" s="8">
        <f t="shared" si="22"/>
        <v>0.14489545900663026</v>
      </c>
      <c r="BI6" s="8">
        <f t="shared" si="22"/>
        <v>0.14488083711215582</v>
      </c>
      <c r="BJ6" s="8">
        <f t="shared" si="22"/>
        <v>0.1448625832378512</v>
      </c>
      <c r="BK6" s="8">
        <f t="shared" si="22"/>
        <v>0.14484296357381454</v>
      </c>
      <c r="BL6" s="8">
        <f t="shared" si="22"/>
        <v>0.14482078450877311</v>
      </c>
      <c r="BM6" s="8">
        <f t="shared" si="22"/>
        <v>0.14479758164786452</v>
      </c>
      <c r="BN6" s="8">
        <f t="shared" si="22"/>
        <v>0.14477191272350884</v>
      </c>
      <c r="BO6" s="8">
        <f t="shared" si="22"/>
        <v>0.1447446250159494</v>
      </c>
      <c r="BP6" s="8">
        <f t="shared" si="22"/>
        <v>0.14471676873503606</v>
      </c>
      <c r="BQ6" s="8">
        <f t="shared" ref="BQ6:CV6" si="23">beta1_pre +beta2_pre* ((1 - EXP(-lambida1_pre * BQ$5)) / (lambida1_pre * BQ$5)) +beta3_pre * ((1 - EXP(-lambida1_pre * BQ$5)) / (lambida1_pre * BQ$5) - EXP(-lambida1_pre * BQ$5)) + beta4_pre* ((1 - EXP(-lambida2_pre * BQ$5)) / (lambida2_pre * BQ$5) - EXP(-lambida2_pre * BQ$5))</f>
        <v>0.14468657809601393</v>
      </c>
      <c r="BR6" s="8">
        <f t="shared" si="23"/>
        <v>0.14465608440146102</v>
      </c>
      <c r="BS6" s="8">
        <f t="shared" si="23"/>
        <v>0.14462333810808933</v>
      </c>
      <c r="BT6" s="8">
        <f t="shared" si="23"/>
        <v>0.14458941633011818</v>
      </c>
      <c r="BU6" s="8">
        <f t="shared" si="23"/>
        <v>0.14455668812088349</v>
      </c>
      <c r="BV6" s="8">
        <f t="shared" si="23"/>
        <v>0.14452070993124916</v>
      </c>
      <c r="BW6" s="8">
        <f t="shared" si="23"/>
        <v>0.14448498118047154</v>
      </c>
      <c r="BX6" s="8">
        <f t="shared" si="23"/>
        <v>0.14444718623015951</v>
      </c>
      <c r="BY6" s="8">
        <f t="shared" si="23"/>
        <v>0.14440982401836308</v>
      </c>
      <c r="BZ6" s="8">
        <f t="shared" si="23"/>
        <v>0.14437046409837448</v>
      </c>
      <c r="CA6" s="8">
        <f t="shared" si="23"/>
        <v>0.14433039806027204</v>
      </c>
      <c r="CB6" s="8">
        <f t="shared" si="23"/>
        <v>0.14429100529973746</v>
      </c>
      <c r="CC6" s="8">
        <f t="shared" si="23"/>
        <v>0.14424971197978376</v>
      </c>
      <c r="CD6" s="8">
        <f t="shared" si="23"/>
        <v>0.14420922995717825</v>
      </c>
      <c r="CE6" s="8">
        <f t="shared" si="23"/>
        <v>0.14416690799811369</v>
      </c>
      <c r="CF6" s="8">
        <f t="shared" si="23"/>
        <v>0.14412413351280345</v>
      </c>
      <c r="CG6" s="8">
        <f t="shared" si="23"/>
        <v>0.14408514645317319</v>
      </c>
      <c r="CH6" s="8">
        <f t="shared" si="23"/>
        <v>0.1440416313870008</v>
      </c>
      <c r="CI6" s="8">
        <f t="shared" si="23"/>
        <v>0.14399920572730673</v>
      </c>
      <c r="CJ6" s="8">
        <f t="shared" si="23"/>
        <v>0.14395507844559025</v>
      </c>
      <c r="CK6" s="8">
        <f t="shared" si="23"/>
        <v>0.14391213047762974</v>
      </c>
      <c r="CL6" s="8">
        <f t="shared" si="23"/>
        <v>0.14386753242209077</v>
      </c>
      <c r="CM6" s="8">
        <f t="shared" si="23"/>
        <v>0.14382274494101097</v>
      </c>
      <c r="CN6" s="8">
        <f t="shared" si="23"/>
        <v>0.14377925139863057</v>
      </c>
      <c r="CO6" s="8">
        <f t="shared" si="23"/>
        <v>0.14373418121063905</v>
      </c>
      <c r="CP6" s="8">
        <f t="shared" si="23"/>
        <v>0.14369046847720149</v>
      </c>
      <c r="CQ6" s="8">
        <f t="shared" si="23"/>
        <v>0.14364522514006509</v>
      </c>
      <c r="CR6" s="8">
        <f t="shared" si="23"/>
        <v>0.14359993226452775</v>
      </c>
      <c r="CS6" s="8">
        <f t="shared" si="23"/>
        <v>0.14355900008414516</v>
      </c>
      <c r="CT6" s="8">
        <f t="shared" si="23"/>
        <v>0.14351367850990204</v>
      </c>
      <c r="CU6" s="8">
        <f t="shared" si="23"/>
        <v>0.14346983490261389</v>
      </c>
      <c r="CV6" s="8">
        <f t="shared" si="23"/>
        <v>0.14342456638138257</v>
      </c>
      <c r="CW6" s="8">
        <f t="shared" ref="CW6:EB6" si="24">beta1_pre +beta2_pre* ((1 - EXP(-lambida1_pre * CW$5)) / (lambida1_pre * CW$5)) +beta3_pre * ((1 - EXP(-lambida1_pre * CW$5)) / (lambida1_pre * CW$5) - EXP(-lambida1_pre * CW$5)) + beta4_pre* ((1 - EXP(-lambida2_pre * CW$5)) / (lambida2_pre * CW$5) - EXP(-lambida2_pre * CW$5))</f>
        <v>0.14338081163264199</v>
      </c>
      <c r="CX6" s="8">
        <f t="shared" si="24"/>
        <v>0.143335671587977</v>
      </c>
      <c r="CY6" s="8">
        <f t="shared" si="24"/>
        <v>0.14329062313552793</v>
      </c>
      <c r="CZ6" s="8">
        <f t="shared" si="24"/>
        <v>0.14324713052636029</v>
      </c>
      <c r="DA6" s="8">
        <f t="shared" si="24"/>
        <v>0.14320230931727715</v>
      </c>
      <c r="DB6" s="8">
        <f t="shared" si="24"/>
        <v>0.1431590647921748</v>
      </c>
      <c r="DC6" s="8">
        <f t="shared" si="24"/>
        <v>0.14311452735749294</v>
      </c>
      <c r="DD6" s="8">
        <f t="shared" si="24"/>
        <v>0.14307015371834814</v>
      </c>
      <c r="DE6" s="8">
        <f t="shared" si="24"/>
        <v>0.1430302252040215</v>
      </c>
      <c r="DF6" s="8">
        <f t="shared" si="24"/>
        <v>0.14298619622689276</v>
      </c>
      <c r="DG6" s="8">
        <f t="shared" si="24"/>
        <v>0.14294377500490446</v>
      </c>
      <c r="DH6" s="8">
        <f t="shared" si="24"/>
        <v>0.14290014325061862</v>
      </c>
      <c r="DI6" s="8">
        <f t="shared" si="24"/>
        <v>0.14285812468770098</v>
      </c>
      <c r="DJ6" s="8">
        <f t="shared" si="24"/>
        <v>0.14281492664060019</v>
      </c>
      <c r="DK6" s="8">
        <f t="shared" si="24"/>
        <v>0.14277196146685589</v>
      </c>
      <c r="DL6" s="8">
        <f t="shared" si="24"/>
        <v>0.14273061118749886</v>
      </c>
      <c r="DM6" s="8">
        <f t="shared" si="24"/>
        <v>0.14268812602409997</v>
      </c>
      <c r="DN6" s="8">
        <f t="shared" si="24"/>
        <v>0.1426472530885049</v>
      </c>
      <c r="DO6" s="8">
        <f t="shared" si="24"/>
        <v>0.14260527344986848</v>
      </c>
      <c r="DP6" s="8">
        <f t="shared" si="24"/>
        <v>0.1425635592951558</v>
      </c>
      <c r="DQ6" s="8">
        <f t="shared" si="24"/>
        <v>0.14252478131178942</v>
      </c>
      <c r="DR6" s="8">
        <f t="shared" si="24"/>
        <v>0.14248359531855634</v>
      </c>
      <c r="DS6" s="8">
        <f t="shared" si="24"/>
        <v>0.14244400395921489</v>
      </c>
      <c r="DT6" s="8">
        <f t="shared" si="24"/>
        <v>0.14240337167943515</v>
      </c>
      <c r="DU6" s="8">
        <f t="shared" si="24"/>
        <v>0.14236432327881596</v>
      </c>
      <c r="DV6" s="8">
        <f t="shared" si="24"/>
        <v>0.14232425870307983</v>
      </c>
      <c r="DW6" s="8">
        <f t="shared" si="24"/>
        <v>0.14228448713776409</v>
      </c>
      <c r="DX6" s="8">
        <f t="shared" si="24"/>
        <v>0.14224627996762898</v>
      </c>
      <c r="DY6" s="8">
        <f t="shared" si="24"/>
        <v>0.14220709229127895</v>
      </c>
      <c r="DZ6" s="8">
        <f t="shared" si="24"/>
        <v>0.14216945422686261</v>
      </c>
      <c r="EA6" s="8">
        <f t="shared" si="24"/>
        <v>0.14213085827069852</v>
      </c>
      <c r="EB6" s="8">
        <f t="shared" si="24"/>
        <v>0.14209256536017253</v>
      </c>
      <c r="EC6" s="8">
        <f t="shared" ref="EC6:FK6" si="25">beta1_pre +beta2_pre* ((1 - EXP(-lambida1_pre * EC$5)) / (lambida1_pre * EC$5)) +beta3_pre * ((1 - EXP(-lambida1_pre * EC$5)) / (lambida1_pre * EC$5) - EXP(-lambida1_pre * EC$5)) + beta4_pre* ((1 - EXP(-lambida2_pre * EC$5)) / (lambida2_pre * EC$5) - EXP(-lambida2_pre * EC$5))</f>
        <v>0.14205823972577672</v>
      </c>
      <c r="ED6" s="8">
        <f t="shared" si="25"/>
        <v>0.14202052680922769</v>
      </c>
      <c r="EE6" s="8">
        <f t="shared" si="25"/>
        <v>0.14198432178842801</v>
      </c>
      <c r="EF6" s="8">
        <f t="shared" si="25"/>
        <v>0.14194721157099527</v>
      </c>
      <c r="EG6" s="8">
        <f t="shared" si="25"/>
        <v>0.14191159073023946</v>
      </c>
      <c r="EH6" s="8">
        <f t="shared" si="25"/>
        <v>0.14187508474216687</v>
      </c>
      <c r="EI6" s="8">
        <f t="shared" si="25"/>
        <v>0.14183888594659624</v>
      </c>
      <c r="EJ6" s="8">
        <f t="shared" si="25"/>
        <v>0.1418041472063748</v>
      </c>
      <c r="EK6" s="8">
        <f t="shared" si="25"/>
        <v>0.14176855230855481</v>
      </c>
      <c r="EL6" s="8">
        <f t="shared" si="25"/>
        <v>0.14173439727355763</v>
      </c>
      <c r="EM6" s="8">
        <f t="shared" si="25"/>
        <v>0.14169940451703678</v>
      </c>
      <c r="EN6" s="8">
        <f t="shared" si="25"/>
        <v>0.14166471674559197</v>
      </c>
      <c r="EO6" s="8">
        <f t="shared" si="25"/>
        <v>0.14163364728294964</v>
      </c>
      <c r="EP6" s="8">
        <f t="shared" si="25"/>
        <v>0.14159953748822174</v>
      </c>
      <c r="EQ6" s="8">
        <f t="shared" si="25"/>
        <v>0.14156681571604421</v>
      </c>
      <c r="ER6" s="8">
        <f t="shared" si="25"/>
        <v>0.1415332993561878</v>
      </c>
      <c r="ES6" s="8">
        <f t="shared" si="25"/>
        <v>0.14150114955268103</v>
      </c>
      <c r="ET6" s="8">
        <f t="shared" si="25"/>
        <v>0.14146822163908537</v>
      </c>
      <c r="EU6" s="8">
        <f t="shared" si="25"/>
        <v>0.1414355906324298</v>
      </c>
      <c r="EV6" s="8">
        <f t="shared" si="25"/>
        <v>0.14140429347114966</v>
      </c>
      <c r="EW6" s="8">
        <f t="shared" si="25"/>
        <v>0.14137224209143839</v>
      </c>
      <c r="EX6" s="8">
        <f t="shared" si="25"/>
        <v>0.14134150273933813</v>
      </c>
      <c r="EY6" s="8">
        <f t="shared" si="25"/>
        <v>0.14131002440437904</v>
      </c>
      <c r="EZ6" s="8">
        <f t="shared" si="25"/>
        <v>0.14127883460453794</v>
      </c>
      <c r="FA6" s="8">
        <f t="shared" si="25"/>
        <v>0.14125090960563039</v>
      </c>
      <c r="FB6" s="8">
        <f t="shared" si="25"/>
        <v>0.14122026369380503</v>
      </c>
      <c r="FC6" s="8">
        <f t="shared" si="25"/>
        <v>0.14119087574853675</v>
      </c>
      <c r="FD6" s="8">
        <f t="shared" si="25"/>
        <v>0.14116078459594797</v>
      </c>
      <c r="FE6" s="8">
        <f t="shared" si="25"/>
        <v>0.14113192966890001</v>
      </c>
      <c r="FF6" s="8">
        <f t="shared" si="25"/>
        <v>0.14110238525022201</v>
      </c>
      <c r="FG6" s="8">
        <f t="shared" si="25"/>
        <v>0.14107311551152341</v>
      </c>
      <c r="FH6" s="8">
        <f t="shared" si="25"/>
        <v>0.14104504943778207</v>
      </c>
      <c r="FI6" s="8">
        <f t="shared" si="25"/>
        <v>0.14101631380875979</v>
      </c>
      <c r="FJ6" s="8">
        <f t="shared" si="25"/>
        <v>0.14098876045520245</v>
      </c>
      <c r="FK6" s="8">
        <f t="shared" si="25"/>
        <v>0.14096055029060517</v>
      </c>
    </row>
    <row r="7" spans="1:167" outlineLevel="1" x14ac:dyDescent="0.35">
      <c r="B7" s="2" t="s">
        <v>69</v>
      </c>
      <c r="E7" s="8">
        <f>E6</f>
        <v>0.140067213591893</v>
      </c>
      <c r="F7" s="8">
        <f>(((1+F6)^(SUM($E$4:F4)/252))/((1+E6)^(SUM($E$4:E4)/252)))^(252/F4)-1</f>
        <v>0.13962687539986196</v>
      </c>
      <c r="G7" s="8">
        <f>(((1+G6)^(SUM($E$4:G4)/252))/((1+F6)^(SUM($E$4:F4)/252)))^(252/G4)-1</f>
        <v>0.13923275421299275</v>
      </c>
      <c r="H7" s="8">
        <f>(((1+H6)^(SUM($E$4:H4)/252))/((1+G6)^(SUM($E$4:G4)/252)))^(252/H4)-1</f>
        <v>0.13924460764730529</v>
      </c>
      <c r="I7" s="8">
        <f>(((1+I6)^(SUM($E$4:I4)/252))/((1+H6)^(SUM($E$4:H4)/252)))^(252/I4)-1</f>
        <v>0.13948832000145117</v>
      </c>
      <c r="J7" s="8">
        <f>(((1+J6)^(SUM($E$4:J4)/252))/((1+I6)^(SUM($E$4:I4)/252)))^(252/J4)-1</f>
        <v>0.1399445863164821</v>
      </c>
      <c r="K7" s="8">
        <f>(((1+K6)^(SUM($E$4:K4)/252))/((1+J6)^(SUM($E$4:J4)/252)))^(252/K4)-1</f>
        <v>0.14036321433034549</v>
      </c>
      <c r="L7" s="8">
        <f>(((1+L6)^(SUM($E$4:L4)/252))/((1+K6)^(SUM($E$4:K4)/252)))^(252/L4)-1</f>
        <v>0.14102751199127295</v>
      </c>
      <c r="M7" s="8">
        <f>(((1+M6)^(SUM($E$4:M4)/252))/((1+L6)^(SUM($E$4:L4)/252)))^(252/M4)-1</f>
        <v>0.14168708481089354</v>
      </c>
      <c r="N7" s="8">
        <f>(((1+N6)^(SUM($E$4:N4)/252))/((1+M6)^(SUM($E$4:M4)/252)))^(252/N4)-1</f>
        <v>0.14207862785404735</v>
      </c>
      <c r="O7" s="8">
        <f>(((1+O6)^(SUM($E$4:O4)/252))/((1+N6)^(SUM($E$4:N4)/252)))^(252/O4)-1</f>
        <v>0.14257925180109998</v>
      </c>
      <c r="P7" s="8">
        <f>(((1+P6)^(SUM($E$4:P4)/252))/((1+O6)^(SUM($E$4:O4)/252)))^(252/P4)-1</f>
        <v>0.1433189668757644</v>
      </c>
      <c r="Q7" s="8">
        <f>(((1+Q6)^(SUM($E$4:Q4)/252))/((1+P6)^(SUM($E$4:P4)/252)))^(252/Q4)-1</f>
        <v>0.14349961464156324</v>
      </c>
      <c r="R7" s="8">
        <f>(((1+R6)^(SUM($E$4:R4)/252))/((1+Q6)^(SUM($E$4:Q4)/252)))^(252/R4)-1</f>
        <v>0.14406690164799141</v>
      </c>
      <c r="S7" s="8">
        <f>(((1+S6)^(SUM($E$4:S4)/252))/((1+R6)^(SUM($E$4:R4)/252)))^(252/S4)-1</f>
        <v>0.14464908012414224</v>
      </c>
      <c r="T7" s="8">
        <f>(((1+T6)^(SUM($E$4:T4)/252))/((1+S6)^(SUM($E$4:S4)/252)))^(252/T4)-1</f>
        <v>0.1449347953098914</v>
      </c>
      <c r="U7" s="8">
        <f>(((1+U6)^(SUM($E$4:U4)/252))/((1+T6)^(SUM($E$4:T4)/252)))^(252/U4)-1</f>
        <v>0.14556935050921105</v>
      </c>
      <c r="V7" s="8">
        <f>(((1+V6)^(SUM($E$4:V4)/252))/((1+U6)^(SUM($E$4:U4)/252)))^(252/V4)-1</f>
        <v>0.14593805383943437</v>
      </c>
      <c r="W7" s="8">
        <f>(((1+W6)^(SUM($E$4:W4)/252))/((1+V6)^(SUM($E$4:V4)/252)))^(252/W4)-1</f>
        <v>0.14567060126909537</v>
      </c>
      <c r="X7" s="8">
        <f>(((1+X6)^(SUM($E$4:X4)/252))/((1+W6)^(SUM($E$4:W4)/252)))^(252/X4)-1</f>
        <v>0.14623653471056053</v>
      </c>
      <c r="Y7" s="8">
        <f>(((1+Y6)^(SUM($E$4:Y4)/252))/((1+X6)^(SUM($E$4:X4)/252)))^(252/Y4)-1</f>
        <v>0.14654815245213504</v>
      </c>
      <c r="Z7" s="8">
        <f>(((1+Z6)^(SUM($E$4:Z4)/252))/((1+Y6)^(SUM($E$4:Y4)/252)))^(252/Z4)-1</f>
        <v>0.14644877742922913</v>
      </c>
      <c r="AA7" s="8">
        <f>(((1+AA6)^(SUM($E$4:AA4)/252))/((1+Z6)^(SUM($E$4:Z4)/252)))^(252/AA4)-1</f>
        <v>0.14720746296286347</v>
      </c>
      <c r="AB7" s="8">
        <f>(((1+AB6)^(SUM($E$4:AB4)/252))/((1+AA6)^(SUM($E$4:AA4)/252)))^(252/AB4)-1</f>
        <v>0.14686698784076024</v>
      </c>
      <c r="AC7" s="8">
        <f>(((1+AC6)^(SUM($E$4:AC4)/252))/((1+AB6)^(SUM($E$4:AB4)/252)))^(252/AC4)-1</f>
        <v>0.1468477323617956</v>
      </c>
      <c r="AD7" s="8">
        <f>(((1+AD6)^(SUM($E$4:AD4)/252))/((1+AC6)^(SUM($E$4:AC4)/252)))^(252/AD4)-1</f>
        <v>0.14703898876407373</v>
      </c>
      <c r="AE7" s="8">
        <f>(((1+AE6)^(SUM($E$4:AE4)/252))/((1+AD6)^(SUM($E$4:AD4)/252)))^(252/AE4)-1</f>
        <v>0.14680632827083073</v>
      </c>
      <c r="AF7" s="8">
        <f>(((1+AF6)^(SUM($E$4:AF4)/252))/((1+AE6)^(SUM($E$4:AE4)/252)))^(252/AF4)-1</f>
        <v>0.14717685506538336</v>
      </c>
      <c r="AG7" s="8">
        <f>(((1+AG6)^(SUM($E$4:AG4)/252))/((1+AF6)^(SUM($E$4:AF4)/252)))^(252/AG4)-1</f>
        <v>0.14729267233765686</v>
      </c>
      <c r="AH7" s="8">
        <f>(((1+AH6)^(SUM($E$4:AH4)/252))/((1+AG6)^(SUM($E$4:AG4)/252)))^(252/AH4)-1</f>
        <v>0.14732808882457493</v>
      </c>
      <c r="AI7" s="8">
        <f>(((1+AI6)^(SUM($E$4:AI4)/252))/((1+AH6)^(SUM($E$4:AH4)/252)))^(252/AI4)-1</f>
        <v>0.14724241693292206</v>
      </c>
      <c r="AJ7" s="8">
        <f>(((1+AJ6)^(SUM($E$4:AJ4)/252))/((1+AI6)^(SUM($E$4:AI4)/252)))^(252/AJ4)-1</f>
        <v>0.14706164521288834</v>
      </c>
      <c r="AK7" s="8">
        <f>(((1+AK6)^(SUM($E$4:AK4)/252))/((1+AJ6)^(SUM($E$4:AJ4)/252)))^(252/AK4)-1</f>
        <v>0.14713941299019684</v>
      </c>
      <c r="AL7" s="8">
        <f>(((1+AL6)^(SUM($E$4:AL4)/252))/((1+AK6)^(SUM($E$4:AK4)/252)))^(252/AL4)-1</f>
        <v>0.14695533568598962</v>
      </c>
      <c r="AM7" s="8">
        <f>(((1+AM6)^(SUM($E$4:AM4)/252))/((1+AL6)^(SUM($E$4:AL4)/252)))^(252/AM4)-1</f>
        <v>0.1469192585662793</v>
      </c>
      <c r="AN7" s="8">
        <f>(((1+AN6)^(SUM($E$4:AN4)/252))/((1+AM6)^(SUM($E$4:AM4)/252)))^(252/AN4)-1</f>
        <v>0.14680553461233248</v>
      </c>
      <c r="AO7" s="8">
        <f>(((1+AO6)^(SUM($E$4:AO4)/252))/((1+AN6)^(SUM($E$4:AN4)/252)))^(252/AO4)-1</f>
        <v>0.14674646143108849</v>
      </c>
      <c r="AP7" s="8">
        <f>(((1+AP6)^(SUM($E$4:AP4)/252))/((1+AO6)^(SUM($E$4:AO4)/252)))^(252/AP4)-1</f>
        <v>0.14661982842053733</v>
      </c>
      <c r="AQ7" s="8">
        <f>(((1+AQ6)^(SUM($E$4:AQ4)/252))/((1+AP6)^(SUM($E$4:AP4)/252)))^(252/AQ4)-1</f>
        <v>0.14636330194308966</v>
      </c>
      <c r="AR7" s="8">
        <f>(((1+AR6)^(SUM($E$4:AR4)/252))/((1+AQ6)^(SUM($E$4:AQ4)/252)))^(252/AR4)-1</f>
        <v>0.14651449340337552</v>
      </c>
      <c r="AS7" s="8">
        <f>(((1+AS6)^(SUM($E$4:AS4)/252))/((1+AR6)^(SUM($E$4:AR4)/252)))^(252/AS4)-1</f>
        <v>0.14628779758516131</v>
      </c>
      <c r="AT7" s="8">
        <f>(((1+AT6)^(SUM($E$4:AT4)/252))/((1+AS6)^(SUM($E$4:AS4)/252)))^(252/AT4)-1</f>
        <v>0.14625227072422331</v>
      </c>
      <c r="AU7" s="8">
        <f>(((1+AU6)^(SUM($E$4:AU4)/252))/((1+AT6)^(SUM($E$4:AT4)/252)))^(252/AU4)-1</f>
        <v>0.14609304784175792</v>
      </c>
      <c r="AV7" s="8">
        <f>(((1+AV6)^(SUM($E$4:AV4)/252))/((1+AU6)^(SUM($E$4:AU4)/252)))^(252/AV4)-1</f>
        <v>0.14585729104577139</v>
      </c>
      <c r="AW7" s="8">
        <f>(((1+AW6)^(SUM($E$4:AW4)/252))/((1+AV6)^(SUM($E$4:AV4)/252)))^(252/AW4)-1</f>
        <v>0.1457252739546091</v>
      </c>
      <c r="AX7" s="8">
        <f>(((1+AX6)^(SUM($E$4:AX4)/252))/((1+AW6)^(SUM($E$4:AW4)/252)))^(252/AX4)-1</f>
        <v>0.14571269213104165</v>
      </c>
      <c r="AY7" s="8">
        <f>(((1+AY6)^(SUM($E$4:AY4)/252))/((1+AX6)^(SUM($E$4:AX4)/252)))^(252/AY4)-1</f>
        <v>0.14550521674661576</v>
      </c>
      <c r="AZ7" s="8">
        <f>(((1+AZ6)^(SUM($E$4:AZ4)/252))/((1+AY6)^(SUM($E$4:AY4)/252)))^(252/AZ4)-1</f>
        <v>0.14533538844263694</v>
      </c>
      <c r="BA7" s="8">
        <f>(((1+BA6)^(SUM($E$4:BA4)/252))/((1+AZ6)^(SUM($E$4:AZ4)/252)))^(252/BA4)-1</f>
        <v>0.14522597413546334</v>
      </c>
      <c r="BB7" s="8">
        <f>(((1+BB6)^(SUM($E$4:BB4)/252))/((1+BA6)^(SUM($E$4:BA4)/252)))^(252/BB4)-1</f>
        <v>0.14505569246140126</v>
      </c>
      <c r="BC7" s="8">
        <f>(((1+BC6)^(SUM($E$4:BC4)/252))/((1+BB6)^(SUM($E$4:BB4)/252)))^(252/BC4)-1</f>
        <v>0.1449111037165558</v>
      </c>
      <c r="BD7" s="8">
        <f>(((1+BD6)^(SUM($E$4:BD4)/252))/((1+BC6)^(SUM($E$4:BC4)/252)))^(252/BD4)-1</f>
        <v>0.14475726214820384</v>
      </c>
      <c r="BE7" s="8">
        <f>(((1+BE6)^(SUM($E$4:BE4)/252))/((1+BD6)^(SUM($E$4:BD4)/252)))^(252/BE4)-1</f>
        <v>0.14463561897514854</v>
      </c>
      <c r="BF7" s="8">
        <f>(((1+BF6)^(SUM($E$4:BF4)/252))/((1+BE6)^(SUM($E$4:BE4)/252)))^(252/BF4)-1</f>
        <v>0.14442666242065005</v>
      </c>
      <c r="BG7" s="8">
        <f>(((1+BG6)^(SUM($E$4:BG4)/252))/((1+BF6)^(SUM($E$4:BF4)/252)))^(252/BG4)-1</f>
        <v>0.14427654810428203</v>
      </c>
      <c r="BH7" s="8">
        <f>(((1+BH6)^(SUM($E$4:BH4)/252))/((1+BG6)^(SUM($E$4:BG4)/252)))^(252/BH4)-1</f>
        <v>0.14418386052686527</v>
      </c>
      <c r="BI7" s="8">
        <f>(((1+BI6)^(SUM($E$4:BI4)/252))/((1+BH6)^(SUM($E$4:BH4)/252)))^(252/BI4)-1</f>
        <v>0.14396387888642925</v>
      </c>
      <c r="BJ7" s="8">
        <f>(((1+BJ6)^(SUM($E$4:BJ4)/252))/((1+BI6)^(SUM($E$4:BI4)/252)))^(252/BJ4)-1</f>
        <v>0.14385823923378505</v>
      </c>
      <c r="BK7" s="8">
        <f>(((1+BK6)^(SUM($E$4:BK4)/252))/((1+BJ6)^(SUM($E$4:BJ4)/252)))^(252/BK4)-1</f>
        <v>0.14369159823551381</v>
      </c>
      <c r="BL7" s="8">
        <f>(((1+BL6)^(SUM($E$4:BL4)/252))/((1+BK6)^(SUM($E$4:BK4)/252)))^(252/BL4)-1</f>
        <v>0.14355728779816479</v>
      </c>
      <c r="BM7" s="8">
        <f>(((1+BM6)^(SUM($E$4:BM4)/252))/((1+BL6)^(SUM($E$4:BL4)/252)))^(252/BM4)-1</f>
        <v>0.14331821081029239</v>
      </c>
      <c r="BN7" s="8">
        <f>(((1+BN6)^(SUM($E$4:BN4)/252))/((1+BM6)^(SUM($E$4:BM4)/252)))^(252/BN4)-1</f>
        <v>0.14338664516861988</v>
      </c>
      <c r="BO7" s="8">
        <f>(((1+BO6)^(SUM($E$4:BO4)/252))/((1+BN6)^(SUM($E$4:BN4)/252)))^(252/BO4)-1</f>
        <v>0.14310855233141151</v>
      </c>
      <c r="BP7" s="8">
        <f>(((1+BP6)^(SUM($E$4:BP4)/252))/((1+BO6)^(SUM($E$4:BO4)/252)))^(252/BP4)-1</f>
        <v>0.14301881680202255</v>
      </c>
      <c r="BQ7" s="8">
        <f>(((1+BQ6)^(SUM($E$4:BQ4)/252))/((1+BP6)^(SUM($E$4:BP4)/252)))^(252/BQ4)-1</f>
        <v>0.14297205137573687</v>
      </c>
      <c r="BR7" s="8">
        <f>(((1+BR6)^(SUM($E$4:BR4)/252))/((1+BQ6)^(SUM($E$4:BQ4)/252)))^(252/BR4)-1</f>
        <v>0.14254180522406168</v>
      </c>
      <c r="BS7" s="8">
        <f>(((1+BS6)^(SUM($E$4:BS4)/252))/((1+BR6)^(SUM($E$4:BR4)/252)))^(252/BS4)-1</f>
        <v>0.14252952271692587</v>
      </c>
      <c r="BT7" s="8">
        <f>(((1+BT6)^(SUM($E$4:BT4)/252))/((1+BS6)^(SUM($E$4:BS4)/252)))^(252/BT4)-1</f>
        <v>0.14238665576253595</v>
      </c>
      <c r="BU7" s="8">
        <f>(((1+BU6)^(SUM($E$4:BU4)/252))/((1+BT6)^(SUM($E$4:BT4)/252)))^(252/BU4)-1</f>
        <v>0.14191969274104266</v>
      </c>
      <c r="BV7" s="8">
        <f>(((1+BV6)^(SUM($E$4:BV4)/252))/((1+BU6)^(SUM($E$4:BU4)/252)))^(252/BV4)-1</f>
        <v>0.14211927337906238</v>
      </c>
      <c r="BW7" s="8">
        <f>(((1+BW6)^(SUM($E$4:BW4)/252))/((1+BV6)^(SUM($E$4:BV4)/252)))^(252/BW4)-1</f>
        <v>0.14206452319873675</v>
      </c>
      <c r="BX7" s="8">
        <f>(((1+BX6)^(SUM($E$4:BX4)/252))/((1+BW6)^(SUM($E$4:BW4)/252)))^(252/BX4)-1</f>
        <v>0.14172563640780722</v>
      </c>
      <c r="BY7" s="8">
        <f>(((1+BY6)^(SUM($E$4:BY4)/252))/((1+BX6)^(SUM($E$4:BX4)/252)))^(252/BY4)-1</f>
        <v>0.1419190576653151</v>
      </c>
      <c r="BZ7" s="8">
        <f>(((1+BZ6)^(SUM($E$4:BZ4)/252))/((1+BY6)^(SUM($E$4:BY4)/252)))^(252/BZ4)-1</f>
        <v>0.14170740660252767</v>
      </c>
      <c r="CA7" s="8">
        <f>(((1+CA6)^(SUM($E$4:CA4)/252))/((1+BZ6)^(SUM($E$4:BZ4)/252)))^(252/CA4)-1</f>
        <v>0.14145477645377347</v>
      </c>
      <c r="CB7" s="8">
        <f>(((1+CB6)^(SUM($E$4:CB4)/252))/((1+CA6)^(SUM($E$4:CA4)/252)))^(252/CB4)-1</f>
        <v>0.14142435167365286</v>
      </c>
      <c r="CC7" s="8">
        <f>(((1+CC6)^(SUM($E$4:CC4)/252))/((1+CB6)^(SUM($E$4:CB4)/252)))^(252/CC4)-1</f>
        <v>0.14105891035775042</v>
      </c>
      <c r="CD7" s="8">
        <f>(((1+CD6)^(SUM($E$4:CD4)/252))/((1+CC6)^(SUM($E$4:CC4)/252)))^(252/CD4)-1</f>
        <v>0.14088246408038829</v>
      </c>
      <c r="CE7" s="8">
        <f>(((1+CE6)^(SUM($E$4:CE4)/252))/((1+CD6)^(SUM($E$4:CD4)/252)))^(252/CE4)-1</f>
        <v>0.14123288136263823</v>
      </c>
      <c r="CF7" s="8">
        <f>(((1+CF6)^(SUM($E$4:CF4)/252))/((1+CE6)^(SUM($E$4:CE4)/252)))^(252/CF4)-1</f>
        <v>0.14084305045168932</v>
      </c>
      <c r="CG7" s="8">
        <f>(((1+CG6)^(SUM($E$4:CG4)/252))/((1+CF6)^(SUM($E$4:CF4)/252)))^(252/CG4)-1</f>
        <v>0.14075277355004845</v>
      </c>
      <c r="CH7" s="8">
        <f>(((1+CH6)^(SUM($E$4:CH4)/252))/((1+CG6)^(SUM($E$4:CG4)/252)))^(252/CH4)-1</f>
        <v>0.14062099804240957</v>
      </c>
      <c r="CI7" s="8">
        <f>(((1+CI6)^(SUM($E$4:CI4)/252))/((1+CH6)^(SUM($E$4:CH4)/252)))^(252/CI4)-1</f>
        <v>0.14028458821556078</v>
      </c>
      <c r="CJ7" s="8">
        <f>(((1+CJ6)^(SUM($E$4:CJ4)/252))/((1+CI6)^(SUM($E$4:CI4)/252)))^(252/CJ4)-1</f>
        <v>0.14040241156715094</v>
      </c>
      <c r="CK7" s="8">
        <f>(((1+CK6)^(SUM($E$4:CK4)/252))/((1+CJ6)^(SUM($E$4:CJ4)/252)))^(252/CK4)-1</f>
        <v>0.14041144783887693</v>
      </c>
      <c r="CL7" s="8">
        <f>(((1+CL6)^(SUM($E$4:CL4)/252))/((1+CK6)^(SUM($E$4:CK4)/252)))^(252/CL4)-1</f>
        <v>0.14018811354828786</v>
      </c>
      <c r="CM7" s="8">
        <f>(((1+CM6)^(SUM($E$4:CM4)/252))/((1+CL6)^(SUM($E$4:CL4)/252)))^(252/CM4)-1</f>
        <v>0.1402454223564753</v>
      </c>
      <c r="CN7" s="8">
        <f>(((1+CN6)^(SUM($E$4:CN4)/252))/((1+CM6)^(SUM($E$4:CM4)/252)))^(252/CN4)-1</f>
        <v>0.14010213263213345</v>
      </c>
      <c r="CO7" s="8">
        <f>(((1+CO6)^(SUM($E$4:CO4)/252))/((1+CN6)^(SUM($E$4:CN4)/252)))^(252/CO4)-1</f>
        <v>0.13969582125595603</v>
      </c>
      <c r="CP7" s="8">
        <f>(((1+CP6)^(SUM($E$4:CP4)/252))/((1+CO6)^(SUM($E$4:CO4)/252)))^(252/CP4)-1</f>
        <v>0.13972996665678861</v>
      </c>
      <c r="CQ7" s="8">
        <f>(((1+CQ6)^(SUM($E$4:CQ4)/252))/((1+CP6)^(SUM($E$4:CP4)/252)))^(252/CQ4)-1</f>
        <v>0.13986097009095366</v>
      </c>
      <c r="CR7" s="8">
        <f>(((1+CR6)^(SUM($E$4:CR4)/252))/((1+CQ6)^(SUM($E$4:CQ4)/252)))^(252/CR4)-1</f>
        <v>0.1395924540578215</v>
      </c>
      <c r="CS7" s="8">
        <f>(((1+CS6)^(SUM($E$4:CS4)/252))/((1+CR6)^(SUM($E$4:CR4)/252)))^(252/CS4)-1</f>
        <v>0.13931862789681948</v>
      </c>
      <c r="CT7" s="8">
        <f>(((1+CT6)^(SUM($E$4:CT4)/252))/((1+CS6)^(SUM($E$4:CS4)/252)))^(252/CT4)-1</f>
        <v>0.13976012473737365</v>
      </c>
      <c r="CU7" s="8">
        <f>(((1+CU6)^(SUM($E$4:CU4)/252))/((1+CT6)^(SUM($E$4:CT4)/252)))^(252/CU4)-1</f>
        <v>0.13882963462499243</v>
      </c>
      <c r="CV7" s="8">
        <f>(((1+CV6)^(SUM($E$4:CV4)/252))/((1+CU6)^(SUM($E$4:CU4)/252)))^(252/CV4)-1</f>
        <v>0.13924701873170608</v>
      </c>
      <c r="CW7" s="8">
        <f>(((1+CW6)^(SUM($E$4:CW4)/252))/((1+CV6)^(SUM($E$4:CV4)/252)))^(252/CW4)-1</f>
        <v>0.13929911262959216</v>
      </c>
      <c r="CX7" s="8">
        <f>(((1+CX6)^(SUM($E$4:CX4)/252))/((1+CW6)^(SUM($E$4:CW4)/252)))^(252/CX4)-1</f>
        <v>0.1390800131443759</v>
      </c>
      <c r="CY7" s="8">
        <f>(((1+CY6)^(SUM($E$4:CY4)/252))/((1+CX6)^(SUM($E$4:CX4)/252)))^(252/CY4)-1</f>
        <v>0.13935574812793483</v>
      </c>
      <c r="CZ7" s="8">
        <f>(((1+CZ6)^(SUM($E$4:CZ4)/252))/((1+CY6)^(SUM($E$4:CY4)/252)))^(252/CZ4)-1</f>
        <v>0.1388566994123337</v>
      </c>
      <c r="DA7" s="8">
        <f>(((1+DA6)^(SUM($E$4:DA4)/252))/((1+CZ6)^(SUM($E$4:CZ4)/252)))^(252/DA4)-1</f>
        <v>0.13863338718201801</v>
      </c>
      <c r="DB7" s="8">
        <f>(((1+DB6)^(SUM($E$4:DB4)/252))/((1+DA6)^(SUM($E$4:DA4)/252)))^(252/DB4)-1</f>
        <v>0.13848535147517249</v>
      </c>
      <c r="DC7" s="8">
        <f>(((1+DC6)^(SUM($E$4:DC4)/252))/((1+DB6)^(SUM($E$4:DB4)/252)))^(252/DC4)-1</f>
        <v>0.13848787113750283</v>
      </c>
      <c r="DD7" s="8">
        <f>(((1+DD6)^(SUM($E$4:DD4)/252))/((1+DC6)^(SUM($E$4:DC4)/252)))^(252/DD4)-1</f>
        <v>0.1386274134953438</v>
      </c>
      <c r="DE7" s="8">
        <f>(((1+DE6)^(SUM($E$4:DE4)/252))/((1+DD6)^(SUM($E$4:DD4)/252)))^(252/DE4)-1</f>
        <v>0.13835564664238342</v>
      </c>
      <c r="DF7" s="8">
        <f>(((1+DF6)^(SUM($E$4:DF4)/252))/((1+DE6)^(SUM($E$4:DE4)/252)))^(252/DF4)-1</f>
        <v>0.13849616427931899</v>
      </c>
      <c r="DG7" s="8">
        <f>(((1+DG6)^(SUM($E$4:DG4)/252))/((1+DF6)^(SUM($E$4:DF4)/252)))^(252/DG4)-1</f>
        <v>0.13836751404020986</v>
      </c>
      <c r="DH7" s="8">
        <f>(((1+DH6)^(SUM($E$4:DH4)/252))/((1+DG6)^(SUM($E$4:DG4)/252)))^(252/DH4)-1</f>
        <v>0.13836559719658581</v>
      </c>
      <c r="DI7" s="8">
        <f>(((1+DI6)^(SUM($E$4:DI4)/252))/((1+DH6)^(SUM($E$4:DH4)/252)))^(252/DI4)-1</f>
        <v>0.13844905387515927</v>
      </c>
      <c r="DJ7" s="8">
        <f>(((1+DJ6)^(SUM($E$4:DJ4)/252))/((1+DI6)^(SUM($E$4:DI4)/252)))^(252/DJ4)-1</f>
        <v>0.13823931411891799</v>
      </c>
      <c r="DK7" s="8">
        <f>(((1+DK6)^(SUM($E$4:DK4)/252))/((1+DJ6)^(SUM($E$4:DJ4)/252)))^(252/DK4)-1</f>
        <v>0.13856028286049549</v>
      </c>
      <c r="DL7" s="8">
        <f>(((1+DL6)^(SUM($E$4:DL4)/252))/((1+DK6)^(SUM($E$4:DK4)/252)))^(252/DL4)-1</f>
        <v>0.13781853722084492</v>
      </c>
      <c r="DM7" s="8">
        <f>(((1+DM6)^(SUM($E$4:DM4)/252))/((1+DL6)^(SUM($E$4:DL4)/252)))^(252/DM4)-1</f>
        <v>0.13806093001770647</v>
      </c>
      <c r="DN7" s="8">
        <f>(((1+DN6)^(SUM($E$4:DN4)/252))/((1+DM6)^(SUM($E$4:DM4)/252)))^(252/DN4)-1</f>
        <v>0.13770629905897058</v>
      </c>
      <c r="DO7" s="8">
        <f>(((1+DO6)^(SUM($E$4:DO4)/252))/((1+DN6)^(SUM($E$4:DN4)/252)))^(252/DO4)-1</f>
        <v>0.13773215324157007</v>
      </c>
      <c r="DP7" s="8">
        <f>(((1+DP6)^(SUM($E$4:DP4)/252))/((1+DO6)^(SUM($E$4:DO4)/252)))^(252/DP4)-1</f>
        <v>0.13810351305124935</v>
      </c>
      <c r="DQ7" s="8">
        <f>(((1+DQ6)^(SUM($E$4:DQ4)/252))/((1+DP6)^(SUM($E$4:DP4)/252)))^(252/DQ4)-1</f>
        <v>0.13771298201388937</v>
      </c>
      <c r="DR7" s="8">
        <f>(((1+DR6)^(SUM($E$4:DR4)/252))/((1+DQ6)^(SUM($E$4:DQ4)/252)))^(252/DR4)-1</f>
        <v>0.13779997536060939</v>
      </c>
      <c r="DS7" s="8">
        <f>(((1+DS6)^(SUM($E$4:DS4)/252))/((1+DR6)^(SUM($E$4:DR4)/252)))^(252/DS4)-1</f>
        <v>0.13768609091261985</v>
      </c>
      <c r="DT7" s="8">
        <f>(((1+DT6)^(SUM($E$4:DT4)/252))/((1+DS6)^(SUM($E$4:DS4)/252)))^(252/DT4)-1</f>
        <v>0.13770349910851531</v>
      </c>
      <c r="DU7" s="8">
        <f>(((1+DU6)^(SUM($E$4:DU4)/252))/((1+DT6)^(SUM($E$4:DT4)/252)))^(252/DU4)-1</f>
        <v>0.13735380532141095</v>
      </c>
      <c r="DV7" s="8">
        <f>(((1+DV6)^(SUM($E$4:DV4)/252))/((1+DU6)^(SUM($E$4:DU4)/252)))^(252/DV4)-1</f>
        <v>0.13800554478199123</v>
      </c>
      <c r="DW7" s="8">
        <f>(((1+DW6)^(SUM($E$4:DW4)/252))/((1+DV6)^(SUM($E$4:DV4)/252)))^(252/DW4)-1</f>
        <v>0.13756514469454029</v>
      </c>
      <c r="DX7" s="8">
        <f>(((1+DX6)^(SUM($E$4:DX4)/252))/((1+DW6)^(SUM($E$4:DW4)/252)))^(252/DX4)-1</f>
        <v>0.13767414461798144</v>
      </c>
      <c r="DY7" s="8">
        <f>(((1+DY6)^(SUM($E$4:DY4)/252))/((1+DX6)^(SUM($E$4:DX4)/252)))^(252/DY4)-1</f>
        <v>0.13787211307248648</v>
      </c>
      <c r="DZ7" s="8">
        <f>(((1+DZ6)^(SUM($E$4:DZ4)/252))/((1+DY6)^(SUM($E$4:DY4)/252)))^(252/DZ4)-1</f>
        <v>0.13712966099946278</v>
      </c>
      <c r="EA7" s="8">
        <f>(((1+EA6)^(SUM($E$4:EA4)/252))/((1+DZ6)^(SUM($E$4:DZ4)/252)))^(252/EA4)-1</f>
        <v>0.13739698215704621</v>
      </c>
      <c r="EB7" s="8">
        <f>(((1+EB6)^(SUM($E$4:EB4)/252))/((1+EA6)^(SUM($E$4:EA4)/252)))^(252/EB4)-1</f>
        <v>0.13735764745806756</v>
      </c>
      <c r="EC7" s="8">
        <f>(((1+EC6)^(SUM($E$4:EC4)/252))/((1+EB6)^(SUM($E$4:EB4)/252)))^(252/EC4)-1</f>
        <v>0.13682994241116675</v>
      </c>
      <c r="ED7" s="8">
        <f>(((1+ED6)^(SUM($E$4:ED4)/252))/((1+EC6)^(SUM($E$4:EC4)/252)))^(252/ED4)-1</f>
        <v>0.13728889219794183</v>
      </c>
      <c r="EE7" s="8">
        <f>(((1+EE6)^(SUM($E$4:EE4)/252))/((1+ED6)^(SUM($E$4:ED4)/252)))^(252/EE4)-1</f>
        <v>0.13718785162451863</v>
      </c>
      <c r="EF7" s="8">
        <f>(((1+EF6)^(SUM($E$4:EF4)/252))/((1+EE6)^(SUM($E$4:EE4)/252)))^(252/EF4)-1</f>
        <v>0.13699413175855324</v>
      </c>
      <c r="EG7" s="8">
        <f>(((1+EG6)^(SUM($E$4:EG4)/252))/((1+EF6)^(SUM($E$4:EF4)/252)))^(252/EG4)-1</f>
        <v>0.13712140855632149</v>
      </c>
      <c r="EH7" s="8">
        <f>(((1+EH6)^(SUM($E$4:EH4)/252))/((1+EG6)^(SUM($E$4:EG4)/252)))^(252/EH4)-1</f>
        <v>0.13754677098971224</v>
      </c>
      <c r="EI7" s="8">
        <f>(((1+EI6)^(SUM($E$4:EI4)/252))/((1+EH6)^(SUM($E$4:EH4)/252)))^(252/EI4)-1</f>
        <v>0.13711822172472043</v>
      </c>
      <c r="EJ7" s="8">
        <f>(((1+EJ6)^(SUM($E$4:EJ4)/252))/((1+EI6)^(SUM($E$4:EI4)/252)))^(252/EJ4)-1</f>
        <v>0.1372389072473541</v>
      </c>
      <c r="EK7" s="8">
        <f>(((1+EK6)^(SUM($E$4:EK4)/252))/((1+EJ6)^(SUM($E$4:EJ4)/252)))^(252/EK4)-1</f>
        <v>0.13705558405962059</v>
      </c>
      <c r="EL7" s="8">
        <f>(((1+EL6)^(SUM($E$4:EL4)/252))/((1+EK6)^(SUM($E$4:EK4)/252)))^(252/EL4)-1</f>
        <v>0.13645985766820345</v>
      </c>
      <c r="EM7" s="8">
        <f>(((1+EM6)^(SUM($E$4:EM4)/252))/((1+EL6)^(SUM($E$4:EL4)/252)))^(252/EM4)-1</f>
        <v>0.13720492779634408</v>
      </c>
      <c r="EN7" s="8">
        <f>(((1+EN6)^(SUM($E$4:EN4)/252))/((1+EM6)^(SUM($E$4:EM4)/252)))^(252/EN4)-1</f>
        <v>0.13674809356214324</v>
      </c>
      <c r="EO7" s="8">
        <f>(((1+EO6)^(SUM($E$4:EO4)/252))/((1+EN6)^(SUM($E$4:EN4)/252)))^(252/EO4)-1</f>
        <v>0.13697660210457552</v>
      </c>
      <c r="EP7" s="8">
        <f>(((1+EP6)^(SUM($E$4:EP4)/252))/((1+EO6)^(SUM($E$4:EO4)/252)))^(252/EP4)-1</f>
        <v>0.13669835167334998</v>
      </c>
      <c r="EQ7" s="8">
        <f>(((1+EQ6)^(SUM($E$4:EQ4)/252))/((1+EP6)^(SUM($E$4:EP4)/252)))^(252/EQ4)-1</f>
        <v>0.13683207285263421</v>
      </c>
      <c r="ER7" s="8">
        <f>(((1+ER6)^(SUM($E$4:ER4)/252))/((1+EQ6)^(SUM($E$4:EQ4)/252)))^(252/ER4)-1</f>
        <v>0.13687194923220103</v>
      </c>
      <c r="ES7" s="8">
        <f>(((1+ES6)^(SUM($E$4:ES4)/252))/((1+ER6)^(SUM($E$4:ER4)/252)))^(252/ES4)-1</f>
        <v>0.13699745766840188</v>
      </c>
      <c r="ET7" s="8">
        <f>(((1+ET6)^(SUM($E$4:ET4)/252))/((1+ES6)^(SUM($E$4:ES4)/252)))^(252/ET4)-1</f>
        <v>0.13702453134848636</v>
      </c>
      <c r="EU7" s="8">
        <f>(((1+EU6)^(SUM($E$4:EU4)/252))/((1+ET6)^(SUM($E$4:ET4)/252)))^(252/EU4)-1</f>
        <v>0.1367981511794365</v>
      </c>
      <c r="EV7" s="8">
        <f>(((1+EV6)^(SUM($E$4:EV4)/252))/((1+EU6)^(SUM($E$4:EU4)/252)))^(252/EV4)-1</f>
        <v>0.1369248703344137</v>
      </c>
      <c r="EW7" s="8">
        <f>(((1+EW6)^(SUM($E$4:EW4)/252))/((1+EV6)^(SUM($E$4:EV4)/252)))^(252/EW4)-1</f>
        <v>0.13653367931613181</v>
      </c>
      <c r="EX7" s="8">
        <f>(((1+EX6)^(SUM($E$4:EX4)/252))/((1+EW6)^(SUM($E$4:EW4)/252)))^(252/EX4)-1</f>
        <v>0.13643691484454457</v>
      </c>
      <c r="EY7" s="8">
        <f>(((1+EY6)^(SUM($E$4:EY4)/252))/((1+EX6)^(SUM($E$4:EX4)/252)))^(252/EY4)-1</f>
        <v>0.1370971571024171</v>
      </c>
      <c r="EZ7" s="8">
        <f>(((1+EZ6)^(SUM($E$4:EZ4)/252))/((1+EY6)^(SUM($E$4:EY4)/252)))^(252/EZ4)-1</f>
        <v>0.13669189758510192</v>
      </c>
      <c r="FA7" s="8">
        <f>(((1+FA6)^(SUM($E$4:FA4)/252))/((1+EZ6)^(SUM($E$4:EZ4)/252)))^(252/FA4)-1</f>
        <v>0.13646381557372389</v>
      </c>
      <c r="FB7" s="8">
        <f>(((1+FB6)^(SUM($E$4:FB4)/252))/((1+FA6)^(SUM($E$4:FA4)/252)))^(252/FB4)-1</f>
        <v>0.13703590454115022</v>
      </c>
      <c r="FC7" s="8">
        <f>(((1+FC6)^(SUM($E$4:FC4)/252))/((1+FB6)^(SUM($E$4:FB4)/252)))^(252/FC4)-1</f>
        <v>0.13634197229959089</v>
      </c>
      <c r="FD7" s="8">
        <f>(((1+FD6)^(SUM($E$4:FD4)/252))/((1+FC6)^(SUM($E$4:FC4)/252)))^(252/FD4)-1</f>
        <v>0.13661930257754928</v>
      </c>
      <c r="FE7" s="8">
        <f>(((1+FE6)^(SUM($E$4:FE4)/252))/((1+FD6)^(SUM($E$4:FD4)/252)))^(252/FE4)-1</f>
        <v>0.13674792124131918</v>
      </c>
      <c r="FF7" s="8">
        <f>(((1+FF6)^(SUM($E$4:FF4)/252))/((1+FE6)^(SUM($E$4:FE4)/252)))^(252/FF4)-1</f>
        <v>0.13658440089685042</v>
      </c>
      <c r="FG7" s="8">
        <f>(((1+FG6)^(SUM($E$4:FG4)/252))/((1+FF6)^(SUM($E$4:FF4)/252)))^(252/FG4)-1</f>
        <v>0.13676340733216263</v>
      </c>
      <c r="FH7" s="8">
        <f>(((1+FH6)^(SUM($E$4:FH4)/252))/((1+FG6)^(SUM($E$4:FG4)/252)))^(252/FH4)-1</f>
        <v>0.13669551829934523</v>
      </c>
      <c r="FI7" s="8">
        <f>(((1+FI6)^(SUM($E$4:FI4)/252))/((1+FH6)^(SUM($E$4:FH4)/252)))^(252/FI4)-1</f>
        <v>0.13632162474339604</v>
      </c>
      <c r="FJ7" s="8">
        <f>(((1+FJ6)^(SUM($E$4:FJ4)/252))/((1+FI6)^(SUM($E$4:FI4)/252)))^(252/FJ4)-1</f>
        <v>0.13645939822867525</v>
      </c>
      <c r="FK7" s="8">
        <f>(((1+FK6)^(SUM($E$4:FK4)/252))/((1+FJ6)^(SUM($E$4:FJ4)/252)))^(252/FK4)-1</f>
        <v>0.13670025622620186</v>
      </c>
    </row>
    <row r="8" spans="1:167" outlineLevel="1" x14ac:dyDescent="0.35">
      <c r="B8" s="2" t="s">
        <v>18</v>
      </c>
      <c r="E8" s="23">
        <f t="shared" ref="E8:AJ8" si="26">IF(in_ipca_modo="Manual",in_ipca_manual,(1+E6)/(1+E9)-1)</f>
        <v>1.2682263422872042E-2</v>
      </c>
      <c r="F8" s="23">
        <f t="shared" si="26"/>
        <v>2.2018744704676907E-2</v>
      </c>
      <c r="G8" s="23">
        <f t="shared" si="26"/>
        <v>2.9123002692563515E-2</v>
      </c>
      <c r="H8" s="23">
        <f t="shared" si="26"/>
        <v>3.4360216919474551E-2</v>
      </c>
      <c r="I8" s="23">
        <f t="shared" si="26"/>
        <v>3.8476189866933685E-2</v>
      </c>
      <c r="J8" s="23">
        <f t="shared" si="26"/>
        <v>4.1501051018137503E-2</v>
      </c>
      <c r="K8" s="23">
        <f t="shared" si="26"/>
        <v>4.3874811876479347E-2</v>
      </c>
      <c r="L8" s="23">
        <f t="shared" si="26"/>
        <v>4.5669593253305774E-2</v>
      </c>
      <c r="M8" s="23">
        <f t="shared" si="26"/>
        <v>4.6912364361965775E-2</v>
      </c>
      <c r="N8" s="23">
        <f t="shared" si="26"/>
        <v>4.7970084462162665E-2</v>
      </c>
      <c r="O8" s="23">
        <f t="shared" si="26"/>
        <v>4.8751203371092178E-2</v>
      </c>
      <c r="P8" s="23">
        <f t="shared" si="26"/>
        <v>4.93695346056644E-2</v>
      </c>
      <c r="Q8" s="23">
        <f t="shared" si="26"/>
        <v>4.9829928550873648E-2</v>
      </c>
      <c r="R8" s="23">
        <f t="shared" si="26"/>
        <v>5.019846851147447E-2</v>
      </c>
      <c r="S8" s="23">
        <f t="shared" si="26"/>
        <v>5.0485226111000925E-2</v>
      </c>
      <c r="T8" s="23">
        <f t="shared" si="26"/>
        <v>5.0704465922811526E-2</v>
      </c>
      <c r="U8" s="23">
        <f t="shared" si="26"/>
        <v>5.0886118783299406E-2</v>
      </c>
      <c r="V8" s="23">
        <f t="shared" si="26"/>
        <v>5.1029581743298635E-2</v>
      </c>
      <c r="W8" s="23">
        <f t="shared" si="26"/>
        <v>5.1153232682285443E-2</v>
      </c>
      <c r="X8" s="23">
        <f t="shared" si="26"/>
        <v>5.1258671661532418E-2</v>
      </c>
      <c r="Y8" s="23">
        <f t="shared" si="26"/>
        <v>5.1345443042301708E-2</v>
      </c>
      <c r="Z8" s="23">
        <f t="shared" si="26"/>
        <v>5.1429264184775336E-2</v>
      </c>
      <c r="AA8" s="23">
        <f t="shared" si="26"/>
        <v>5.1504362009262561E-2</v>
      </c>
      <c r="AB8" s="23">
        <f t="shared" si="26"/>
        <v>5.1577962439691483E-2</v>
      </c>
      <c r="AC8" s="23">
        <f t="shared" si="26"/>
        <v>5.1646917881208898E-2</v>
      </c>
      <c r="AD8" s="23">
        <f t="shared" si="26"/>
        <v>5.1717078919626847E-2</v>
      </c>
      <c r="AE8" s="23">
        <f t="shared" si="26"/>
        <v>5.1787073952940688E-2</v>
      </c>
      <c r="AF8" s="23">
        <f t="shared" si="26"/>
        <v>5.1855313632612532E-2</v>
      </c>
      <c r="AG8" s="23">
        <f t="shared" si="26"/>
        <v>5.1926838196262759E-2</v>
      </c>
      <c r="AH8" s="23">
        <f t="shared" si="26"/>
        <v>5.1997362795876967E-2</v>
      </c>
      <c r="AI8" s="23">
        <f t="shared" si="26"/>
        <v>5.2071820388278178E-2</v>
      </c>
      <c r="AJ8" s="23">
        <f t="shared" si="26"/>
        <v>5.2148031822112362E-2</v>
      </c>
      <c r="AK8" s="23">
        <f t="shared" ref="AK8:BP8" si="27">IF(in_ipca_modo="Manual",in_ipca_manual,(1+AK6)/(1+AK9)-1)</f>
        <v>5.2218441285488026E-2</v>
      </c>
      <c r="AL8" s="23">
        <f t="shared" si="27"/>
        <v>5.2298160644854486E-2</v>
      </c>
      <c r="AM8" s="23">
        <f t="shared" si="27"/>
        <v>5.2377062492728443E-2</v>
      </c>
      <c r="AN8" s="23">
        <f t="shared" si="27"/>
        <v>5.2460363173629565E-2</v>
      </c>
      <c r="AO8" s="23">
        <f t="shared" si="27"/>
        <v>5.2542624436965113E-2</v>
      </c>
      <c r="AP8" s="23">
        <f t="shared" si="27"/>
        <v>5.2629246355382575E-2</v>
      </c>
      <c r="AQ8" s="23">
        <f t="shared" si="27"/>
        <v>5.2717415285765679E-2</v>
      </c>
      <c r="AR8" s="23">
        <f t="shared" si="27"/>
        <v>5.2804111140742682E-2</v>
      </c>
      <c r="AS8" s="23">
        <f t="shared" si="27"/>
        <v>5.2895002545122694E-2</v>
      </c>
      <c r="AT8" s="23">
        <f t="shared" si="27"/>
        <v>5.298411589451324E-2</v>
      </c>
      <c r="AU8" s="23">
        <f t="shared" si="27"/>
        <v>5.3077275940328184E-2</v>
      </c>
      <c r="AV8" s="23">
        <f t="shared" si="27"/>
        <v>5.3171411699849402E-2</v>
      </c>
      <c r="AW8" s="23">
        <f t="shared" si="27"/>
        <v>5.3257177667163091E-2</v>
      </c>
      <c r="AX8" s="23">
        <f t="shared" si="27"/>
        <v>5.3352844963409307E-2</v>
      </c>
      <c r="AY8" s="23">
        <f t="shared" si="27"/>
        <v>5.3446034951906141E-2</v>
      </c>
      <c r="AZ8" s="23">
        <f t="shared" si="27"/>
        <v>5.3542852536848651E-2</v>
      </c>
      <c r="BA8" s="23">
        <f t="shared" si="27"/>
        <v>5.3636951661591992E-2</v>
      </c>
      <c r="BB8" s="23">
        <f t="shared" si="27"/>
        <v>5.3734505231438634E-2</v>
      </c>
      <c r="BC8" s="23">
        <f t="shared" si="27"/>
        <v>5.383228397118045E-2</v>
      </c>
      <c r="BD8" s="23">
        <f t="shared" si="27"/>
        <v>5.3927033861885354E-2</v>
      </c>
      <c r="BE8" s="23">
        <f t="shared" si="27"/>
        <v>5.4024983838497187E-2</v>
      </c>
      <c r="BF8" s="23">
        <f t="shared" si="27"/>
        <v>5.4119734725820434E-2</v>
      </c>
      <c r="BG8" s="23">
        <f t="shared" si="27"/>
        <v>5.4217524194361877E-2</v>
      </c>
      <c r="BH8" s="23">
        <f t="shared" si="27"/>
        <v>5.4315115972608519E-2</v>
      </c>
      <c r="BI8" s="23">
        <f t="shared" si="27"/>
        <v>5.4403033174600601E-2</v>
      </c>
      <c r="BJ8" s="23">
        <f t="shared" si="27"/>
        <v>5.4500052356361461E-2</v>
      </c>
      <c r="BK8" s="23">
        <f t="shared" si="27"/>
        <v>5.4593565559678092E-2</v>
      </c>
      <c r="BL8" s="23">
        <f t="shared" si="27"/>
        <v>5.4689748478815137E-2</v>
      </c>
      <c r="BM8" s="23">
        <f t="shared" si="27"/>
        <v>5.4782343429854885E-2</v>
      </c>
      <c r="BN8" s="23">
        <f t="shared" si="27"/>
        <v>5.4877472457376841E-2</v>
      </c>
      <c r="BO8" s="23">
        <f t="shared" si="27"/>
        <v>5.4971991898469463E-2</v>
      </c>
      <c r="BP8" s="23">
        <f t="shared" si="27"/>
        <v>5.5062839456763601E-2</v>
      </c>
      <c r="BQ8" s="23">
        <f t="shared" ref="BQ8:CV8" si="28">IF(in_ipca_modo="Manual",in_ipca_manual,(1+BQ6)/(1+BQ9)-1)</f>
        <v>5.5156031106677217E-2</v>
      </c>
      <c r="BR8" s="23">
        <f t="shared" si="28"/>
        <v>5.524551873451089E-2</v>
      </c>
      <c r="BS8" s="23">
        <f t="shared" si="28"/>
        <v>5.5337233881131542E-2</v>
      </c>
      <c r="BT8" s="23">
        <f t="shared" si="28"/>
        <v>5.5428149360510437E-2</v>
      </c>
      <c r="BU8" s="23">
        <f t="shared" si="28"/>
        <v>5.55124493383512E-2</v>
      </c>
      <c r="BV8" s="23">
        <f t="shared" si="28"/>
        <v>5.560173613320929E-2</v>
      </c>
      <c r="BW8" s="23">
        <f t="shared" si="28"/>
        <v>5.5687306852090446E-2</v>
      </c>
      <c r="BX8" s="23">
        <f t="shared" si="28"/>
        <v>5.5774845110272642E-2</v>
      </c>
      <c r="BY8" s="23">
        <f t="shared" si="28"/>
        <v>5.5858685254846385E-2</v>
      </c>
      <c r="BZ8" s="23">
        <f t="shared" si="28"/>
        <v>5.5944399951237234E-2</v>
      </c>
      <c r="CA8" s="23">
        <f t="shared" si="28"/>
        <v>5.6029164579124657E-2</v>
      </c>
      <c r="CB8" s="23">
        <f t="shared" si="28"/>
        <v>5.611027798100765E-2</v>
      </c>
      <c r="CC8" s="23">
        <f t="shared" si="28"/>
        <v>5.619313684705074E-2</v>
      </c>
      <c r="CD8" s="23">
        <f t="shared" si="28"/>
        <v>5.6272386678214215E-2</v>
      </c>
      <c r="CE8" s="23">
        <f t="shared" si="28"/>
        <v>5.6353303251776898E-2</v>
      </c>
      <c r="CF8" s="23">
        <f t="shared" si="28"/>
        <v>5.6433222810288397E-2</v>
      </c>
      <c r="CG8" s="23">
        <f t="shared" si="28"/>
        <v>5.650454732006005E-2</v>
      </c>
      <c r="CH8" s="23">
        <f t="shared" si="28"/>
        <v>5.6582557496684727E-2</v>
      </c>
      <c r="CI8" s="23">
        <f t="shared" si="28"/>
        <v>5.6657092529620146E-2</v>
      </c>
      <c r="CJ8" s="23">
        <f t="shared" si="28"/>
        <v>5.6733120528581482E-2</v>
      </c>
      <c r="CK8" s="23">
        <f t="shared" si="28"/>
        <v>5.6805736660669348E-2</v>
      </c>
      <c r="CL8" s="23">
        <f t="shared" si="28"/>
        <v>5.6879783236664094E-2</v>
      </c>
      <c r="CM8" s="23">
        <f t="shared" si="28"/>
        <v>5.6952825724019052E-2</v>
      </c>
      <c r="CN8" s="23">
        <f t="shared" si="28"/>
        <v>5.702255896671371E-2</v>
      </c>
      <c r="CO8" s="23">
        <f t="shared" si="28"/>
        <v>5.7093635771553908E-2</v>
      </c>
      <c r="CP8" s="23">
        <f t="shared" si="28"/>
        <v>5.716147502793878E-2</v>
      </c>
      <c r="CQ8" s="23">
        <f t="shared" si="28"/>
        <v>5.7230604752367187E-2</v>
      </c>
      <c r="CR8" s="23">
        <f t="shared" si="28"/>
        <v>5.7298753879640563E-2</v>
      </c>
      <c r="CS8" s="23">
        <f t="shared" si="28"/>
        <v>5.7359470771896959E-2</v>
      </c>
      <c r="CT8" s="23">
        <f t="shared" si="28"/>
        <v>5.7425773008168424E-2</v>
      </c>
      <c r="CU8" s="23">
        <f t="shared" si="28"/>
        <v>5.7489023135931294E-2</v>
      </c>
      <c r="CV8" s="23">
        <f t="shared" si="28"/>
        <v>5.7553445994366292E-2</v>
      </c>
      <c r="CW8" s="23">
        <f t="shared" ref="CW8:EB8" si="29">IF(in_ipca_modo="Manual",in_ipca_manual,(1+CW6)/(1+CW9)-1)</f>
        <v>5.76148934921481E-2</v>
      </c>
      <c r="CX8" s="23">
        <f t="shared" si="29"/>
        <v>5.7677471104968125E-2</v>
      </c>
      <c r="CY8" s="23">
        <f t="shared" si="29"/>
        <v>5.773912501232692E-2</v>
      </c>
      <c r="CZ8" s="23">
        <f t="shared" si="29"/>
        <v>5.7797919924415408E-2</v>
      </c>
      <c r="DA8" s="23">
        <f t="shared" si="29"/>
        <v>5.7857785427705588E-2</v>
      </c>
      <c r="DB8" s="23">
        <f t="shared" si="29"/>
        <v>5.7914868972218647E-2</v>
      </c>
      <c r="DC8" s="23">
        <f t="shared" si="29"/>
        <v>5.7972986524390535E-2</v>
      </c>
      <c r="DD8" s="23">
        <f t="shared" si="29"/>
        <v>5.8030231822654432E-2</v>
      </c>
      <c r="DE8" s="23">
        <f t="shared" si="29"/>
        <v>5.8081196725722872E-2</v>
      </c>
      <c r="DF8" s="23">
        <f t="shared" si="29"/>
        <v>5.8136812597612497E-2</v>
      </c>
      <c r="DG8" s="23">
        <f t="shared" si="29"/>
        <v>5.8189834726248169E-2</v>
      </c>
      <c r="DH8" s="23">
        <f t="shared" si="29"/>
        <v>5.8243809038483141E-2</v>
      </c>
      <c r="DI8" s="23">
        <f t="shared" si="29"/>
        <v>5.8295264040681083E-2</v>
      </c>
      <c r="DJ8" s="23">
        <f t="shared" si="29"/>
        <v>5.8347641327556099E-2</v>
      </c>
      <c r="DK8" s="23">
        <f t="shared" si="29"/>
        <v>5.8399224225872182E-2</v>
      </c>
      <c r="DL8" s="23">
        <f t="shared" si="29"/>
        <v>5.8448397764902627E-2</v>
      </c>
      <c r="DM8" s="23">
        <f t="shared" si="29"/>
        <v>5.8498451528303796E-2</v>
      </c>
      <c r="DN8" s="23">
        <f t="shared" si="29"/>
        <v>5.8546167102294877E-2</v>
      </c>
      <c r="DO8" s="23">
        <f t="shared" si="29"/>
        <v>5.8594736857572993E-2</v>
      </c>
      <c r="DP8" s="23">
        <f t="shared" si="29"/>
        <v>5.864256969501791E-2</v>
      </c>
      <c r="DQ8" s="23">
        <f t="shared" si="29"/>
        <v>5.8686659662008367E-2</v>
      </c>
      <c r="DR8" s="23">
        <f t="shared" si="29"/>
        <v>5.8733099049738335E-2</v>
      </c>
      <c r="DS8" s="23">
        <f t="shared" si="29"/>
        <v>5.8777370843693388E-2</v>
      </c>
      <c r="DT8" s="23">
        <f t="shared" si="29"/>
        <v>5.882243759390815E-2</v>
      </c>
      <c r="DU8" s="23">
        <f t="shared" si="29"/>
        <v>5.8865402319048243E-2</v>
      </c>
      <c r="DV8" s="23">
        <f t="shared" si="29"/>
        <v>5.8909140274369109E-2</v>
      </c>
      <c r="DW8" s="23">
        <f t="shared" si="29"/>
        <v>5.8952219528574323E-2</v>
      </c>
      <c r="DX8" s="23">
        <f t="shared" si="29"/>
        <v>5.899329236630968E-2</v>
      </c>
      <c r="DY8" s="23">
        <f t="shared" si="29"/>
        <v>5.9035107629834993E-2</v>
      </c>
      <c r="DZ8" s="23">
        <f t="shared" si="29"/>
        <v>5.9074977655817706E-2</v>
      </c>
      <c r="EA8" s="23">
        <f t="shared" si="29"/>
        <v>5.9115570881752566E-2</v>
      </c>
      <c r="EB8" s="23">
        <f t="shared" si="29"/>
        <v>5.9155558864389501E-2</v>
      </c>
      <c r="EC8" s="23">
        <f t="shared" ref="EC8:FH8" si="30">IF(in_ipca_modo="Manual",in_ipca_manual,(1+EC6)/(1+EC9)-1)</f>
        <v>5.9191165542092694E-2</v>
      </c>
      <c r="ED8" s="23">
        <f t="shared" si="30"/>
        <v>5.9230030456083327E-2</v>
      </c>
      <c r="EE8" s="23">
        <f t="shared" si="30"/>
        <v>5.9267093916623548E-2</v>
      </c>
      <c r="EF8" s="23">
        <f t="shared" si="30"/>
        <v>5.9304836653667925E-2</v>
      </c>
      <c r="EG8" s="23">
        <f t="shared" si="30"/>
        <v>5.9340832939495547E-2</v>
      </c>
      <c r="EH8" s="23">
        <f t="shared" si="30"/>
        <v>5.9377492097212548E-2</v>
      </c>
      <c r="EI8" s="23">
        <f t="shared" si="30"/>
        <v>5.9413615038050427E-2</v>
      </c>
      <c r="EJ8" s="23">
        <f t="shared" si="30"/>
        <v>5.9448071174000638E-2</v>
      </c>
      <c r="EK8" s="23">
        <f t="shared" si="30"/>
        <v>5.9483166744903615E-2</v>
      </c>
      <c r="EL8" s="23">
        <f t="shared" si="30"/>
        <v>5.9516646161519082E-2</v>
      </c>
      <c r="EM8" s="23">
        <f t="shared" si="30"/>
        <v>5.9550750274844022E-2</v>
      </c>
      <c r="EN8" s="23">
        <f t="shared" si="30"/>
        <v>5.9584363944907404E-2</v>
      </c>
      <c r="EO8" s="23">
        <f t="shared" si="30"/>
        <v>5.9614310495464062E-2</v>
      </c>
      <c r="EP8" s="23">
        <f t="shared" si="30"/>
        <v>5.9647015066608189E-2</v>
      </c>
      <c r="EQ8" s="23">
        <f t="shared" si="30"/>
        <v>5.967822167725445E-2</v>
      </c>
      <c r="ER8" s="23">
        <f t="shared" si="30"/>
        <v>5.9710018975646317E-2</v>
      </c>
      <c r="ES8" s="23">
        <f t="shared" si="30"/>
        <v>5.9740363248427908E-2</v>
      </c>
      <c r="ET8" s="23">
        <f t="shared" si="30"/>
        <v>5.9771285381151396E-2</v>
      </c>
      <c r="EU8" s="23">
        <f t="shared" si="30"/>
        <v>5.9801774714629996E-2</v>
      </c>
      <c r="EV8" s="23">
        <f t="shared" si="30"/>
        <v>5.9830875853860599E-2</v>
      </c>
      <c r="EW8" s="23">
        <f t="shared" si="30"/>
        <v>5.9860536402119413E-2</v>
      </c>
      <c r="EX8" s="23">
        <f t="shared" si="30"/>
        <v>5.9888849853802606E-2</v>
      </c>
      <c r="EY8" s="23">
        <f t="shared" si="30"/>
        <v>5.9917711035105903E-2</v>
      </c>
      <c r="EZ8" s="23">
        <f t="shared" si="30"/>
        <v>5.9946176919740024E-2</v>
      </c>
      <c r="FA8" s="23">
        <f t="shared" si="30"/>
        <v>5.9971554261261995E-2</v>
      </c>
      <c r="FB8" s="23">
        <f t="shared" si="30"/>
        <v>5.9999287568605286E-2</v>
      </c>
      <c r="FC8" s="23">
        <f t="shared" si="30"/>
        <v>6.0025769341524926E-2</v>
      </c>
      <c r="FD8" s="23">
        <f t="shared" si="30"/>
        <v>6.0052771661460502E-2</v>
      </c>
      <c r="FE8" s="23">
        <f t="shared" si="30"/>
        <v>6.0078558671323057E-2</v>
      </c>
      <c r="FF8" s="23">
        <f t="shared" si="30"/>
        <v>6.0104855889541842E-2</v>
      </c>
      <c r="FG8" s="23">
        <f t="shared" si="30"/>
        <v>6.0130804387706016E-2</v>
      </c>
      <c r="FH8" s="23">
        <f t="shared" si="30"/>
        <v>6.0155589755781502E-2</v>
      </c>
      <c r="FI8" s="23">
        <f t="shared" ref="FI8:FK8" si="31">IF(in_ipca_modo="Manual",in_ipca_manual,(1+FI6)/(1+FI9)-1)</f>
        <v>6.0180870378014673E-2</v>
      </c>
      <c r="FJ8" s="23">
        <f t="shared" si="31"/>
        <v>6.0205020904671835E-2</v>
      </c>
      <c r="FK8" s="23">
        <f t="shared" si="31"/>
        <v>6.0229657168214601E-2</v>
      </c>
    </row>
    <row r="9" spans="1:167" outlineLevel="1" x14ac:dyDescent="0.35">
      <c r="B9" s="2" t="s">
        <v>70</v>
      </c>
      <c r="E9" s="8">
        <f t="shared" ref="E9:AJ9" si="32">beta1_IPCA +beta2_IPCA* ((1 - EXP(-lambida1_IPCA * E$5)) / (lambida1_IPCA * E$5)) +beta3_IPCA * ((1 - EXP(-lambida1_IPCA * E$5)) / (lambida1_IPCA * E$5) - EXP(-lambida1_IPCA * E$5)) + beta4_IPCA* ((1 - EXP(-lambida2_IPCA * E$5)) / (lambida2_IPCA * E$5) - EXP(-lambida2_IPCA * E$5))</f>
        <v>0.12578965265813891</v>
      </c>
      <c r="F9" s="8">
        <f t="shared" si="32"/>
        <v>0.1151486110672809</v>
      </c>
      <c r="G9" s="8">
        <f t="shared" si="32"/>
        <v>0.10725345666974785</v>
      </c>
      <c r="H9" s="8">
        <f t="shared" si="32"/>
        <v>0.10157274924426993</v>
      </c>
      <c r="I9" s="8">
        <f t="shared" si="32"/>
        <v>9.7221254499046339E-2</v>
      </c>
      <c r="J9" s="8">
        <f t="shared" si="32"/>
        <v>9.4115591615777622E-2</v>
      </c>
      <c r="K9" s="8">
        <f t="shared" si="32"/>
        <v>9.176274556749027E-2</v>
      </c>
      <c r="L9" s="8">
        <f t="shared" si="32"/>
        <v>9.0062118458348189E-2</v>
      </c>
      <c r="M9" s="8">
        <f t="shared" si="32"/>
        <v>8.8947965988943917E-2</v>
      </c>
      <c r="N9" s="8">
        <f t="shared" si="32"/>
        <v>8.8065592344814633E-2</v>
      </c>
      <c r="O9" s="8">
        <f t="shared" si="32"/>
        <v>8.7476115577554303E-2</v>
      </c>
      <c r="P9" s="8">
        <f t="shared" si="32"/>
        <v>8.7069818782580174E-2</v>
      </c>
      <c r="Q9" s="8">
        <f t="shared" si="32"/>
        <v>8.6822020329473226E-2</v>
      </c>
      <c r="R9" s="8">
        <f t="shared" si="32"/>
        <v>8.6676024024858772E-2</v>
      </c>
      <c r="S9" s="8">
        <f t="shared" si="32"/>
        <v>8.6611100477379355E-2</v>
      </c>
      <c r="T9" s="8">
        <f t="shared" si="32"/>
        <v>8.6603302718296679E-2</v>
      </c>
      <c r="U9" s="8">
        <f t="shared" si="32"/>
        <v>8.6634850542083197E-2</v>
      </c>
      <c r="V9" s="8">
        <f t="shared" si="32"/>
        <v>8.6691238794055131E-2</v>
      </c>
      <c r="W9" s="8">
        <f t="shared" si="32"/>
        <v>8.6766408704947409E-2</v>
      </c>
      <c r="X9" s="8">
        <f t="shared" si="32"/>
        <v>8.6851275587507562E-2</v>
      </c>
      <c r="Y9" s="8">
        <f t="shared" si="32"/>
        <v>8.6934420477229504E-2</v>
      </c>
      <c r="Z9" s="8">
        <f t="shared" si="32"/>
        <v>8.7023315931726589E-2</v>
      </c>
      <c r="AA9" s="8">
        <f t="shared" si="32"/>
        <v>8.7106485864209771E-2</v>
      </c>
      <c r="AB9" s="8">
        <f t="shared" si="32"/>
        <v>8.7187257697273049E-2</v>
      </c>
      <c r="AC9" s="8">
        <f t="shared" si="32"/>
        <v>8.7258903488821093E-2</v>
      </c>
      <c r="AD9" s="8">
        <f t="shared" si="32"/>
        <v>8.7325098220597544E-2</v>
      </c>
      <c r="AE9" s="8">
        <f t="shared" si="32"/>
        <v>8.7382584034572899E-2</v>
      </c>
      <c r="AF9" s="8">
        <f t="shared" si="32"/>
        <v>8.7429490416037856E-2</v>
      </c>
      <c r="AG9" s="8">
        <f t="shared" si="32"/>
        <v>8.7468713498210532E-2</v>
      </c>
      <c r="AH9" s="8">
        <f t="shared" si="32"/>
        <v>8.7497657805746462E-2</v>
      </c>
      <c r="AI9" s="8">
        <f t="shared" si="32"/>
        <v>8.7518308440452858E-2</v>
      </c>
      <c r="AJ9" s="8">
        <f t="shared" si="32"/>
        <v>8.7529700126844745E-2</v>
      </c>
      <c r="AK9" s="8">
        <f t="shared" ref="AK9:BP9" si="33">beta1_IPCA +beta2_IPCA* ((1 - EXP(-lambida1_IPCA * AK$5)) / (lambida1_IPCA * AK$5)) +beta3_IPCA * ((1 - EXP(-lambida1_IPCA * AK$5)) / (lambida1_IPCA * AK$5) - EXP(-lambida1_IPCA * AK$5)) + beta4_IPCA* ((1 - EXP(-lambida2_IPCA * AK$5)) / (lambida2_IPCA * AK$5) - EXP(-lambida2_IPCA * AK$5))</f>
        <v>8.7532216436380414E-2</v>
      </c>
      <c r="AL9" s="8">
        <f t="shared" si="33"/>
        <v>8.7526649407676654E-2</v>
      </c>
      <c r="AM9" s="8">
        <f t="shared" si="33"/>
        <v>8.7513188247314785E-2</v>
      </c>
      <c r="AN9" s="8">
        <f t="shared" si="33"/>
        <v>8.7491263684413387E-2</v>
      </c>
      <c r="AO9" s="8">
        <f t="shared" si="33"/>
        <v>8.7462620381771661E-2</v>
      </c>
      <c r="AP9" s="8">
        <f t="shared" si="33"/>
        <v>8.7425703633769752E-2</v>
      </c>
      <c r="AQ9" s="8">
        <f t="shared" si="33"/>
        <v>8.7381713595624314E-2</v>
      </c>
      <c r="AR9" s="8">
        <f t="shared" si="33"/>
        <v>8.7332756163839981E-2</v>
      </c>
      <c r="AS9" s="8">
        <f t="shared" si="33"/>
        <v>8.7275924615138209E-2</v>
      </c>
      <c r="AT9" s="8">
        <f t="shared" si="33"/>
        <v>8.7215222324120059E-2</v>
      </c>
      <c r="AU9" s="8">
        <f t="shared" si="33"/>
        <v>8.7146947242826373E-2</v>
      </c>
      <c r="AV9" s="8">
        <f t="shared" si="33"/>
        <v>8.7073373508838148E-2</v>
      </c>
      <c r="AW9" s="8">
        <f t="shared" si="33"/>
        <v>8.700264480292709E-2</v>
      </c>
      <c r="AX9" s="8">
        <f t="shared" si="33"/>
        <v>8.6919904543299814E-2</v>
      </c>
      <c r="AY9" s="8">
        <f t="shared" si="33"/>
        <v>8.6835683885406537E-2</v>
      </c>
      <c r="AZ9" s="8">
        <f t="shared" si="33"/>
        <v>8.6744663168954725E-2</v>
      </c>
      <c r="BA9" s="8">
        <f t="shared" si="33"/>
        <v>8.6652986308365348E-2</v>
      </c>
      <c r="BB9" s="8">
        <f t="shared" si="33"/>
        <v>8.6554813893245444E-2</v>
      </c>
      <c r="BC9" s="8">
        <f t="shared" si="33"/>
        <v>8.6453410658973662E-2</v>
      </c>
      <c r="BD9" s="8">
        <f t="shared" si="33"/>
        <v>8.6352443989615946E-2</v>
      </c>
      <c r="BE9" s="8">
        <f t="shared" si="33"/>
        <v>8.6245421335549688E-2</v>
      </c>
      <c r="BF9" s="8">
        <f t="shared" si="33"/>
        <v>8.6139465350980118E-2</v>
      </c>
      <c r="BG9" s="8">
        <f t="shared" si="33"/>
        <v>8.6027729404761777E-2</v>
      </c>
      <c r="BH9" s="8">
        <f t="shared" si="33"/>
        <v>8.5913918582549167E-2</v>
      </c>
      <c r="BI9" s="8">
        <f t="shared" si="33"/>
        <v>8.5809506508288724E-2</v>
      </c>
      <c r="BJ9" s="8">
        <f t="shared" si="33"/>
        <v>8.5692296249362768E-2</v>
      </c>
      <c r="BK9" s="8">
        <f t="shared" si="33"/>
        <v>8.5577421445996255E-2</v>
      </c>
      <c r="BL9" s="8">
        <f t="shared" si="33"/>
        <v>8.5457392716630137E-2</v>
      </c>
      <c r="BM9" s="8">
        <f t="shared" si="33"/>
        <v>8.5340107159269915E-2</v>
      </c>
      <c r="BN9" s="8">
        <f t="shared" si="33"/>
        <v>8.5217897446155141E-2</v>
      </c>
      <c r="BO9" s="8">
        <f t="shared" si="33"/>
        <v>8.5094802333026937E-2</v>
      </c>
      <c r="BP9" s="8">
        <f t="shared" si="33"/>
        <v>8.4974966348387304E-2</v>
      </c>
      <c r="BQ9" s="8">
        <f t="shared" ref="BQ9:CV9" si="34">beta1_IPCA +beta2_IPCA* ((1 - EXP(-lambida1_IPCA * BQ$5)) / (lambida1_IPCA * BQ$5)) +beta3_IPCA * ((1 - EXP(-lambida1_IPCA * BQ$5)) / (lambida1_IPCA * BQ$5) - EXP(-lambida1_IPCA * BQ$5)) + beta4_IPCA* ((1 - EXP(-lambida2_IPCA * BQ$5)) / (lambida2_IPCA * BQ$5) - EXP(-lambida2_IPCA * BQ$5))</f>
        <v>8.4850528594746746E-2</v>
      </c>
      <c r="BR9" s="8">
        <f t="shared" si="34"/>
        <v>8.4729633132367727E-2</v>
      </c>
      <c r="BS9" s="8">
        <f t="shared" si="34"/>
        <v>8.4604334387594057E-2</v>
      </c>
      <c r="BT9" s="8">
        <f t="shared" si="34"/>
        <v>8.4478765346206686E-2</v>
      </c>
      <c r="BU9" s="8">
        <f t="shared" si="34"/>
        <v>8.4361144994878956E-2</v>
      </c>
      <c r="BV9" s="8">
        <f t="shared" si="34"/>
        <v>8.423534251067108E-2</v>
      </c>
      <c r="BW9" s="8">
        <f t="shared" si="34"/>
        <v>8.4113613711207014E-2</v>
      </c>
      <c r="BX9" s="8">
        <f t="shared" si="34"/>
        <v>8.3987927473897467E-2</v>
      </c>
      <c r="BY9" s="8">
        <f t="shared" si="34"/>
        <v>8.3866468117505324E-2</v>
      </c>
      <c r="BZ9" s="8">
        <f t="shared" si="34"/>
        <v>8.3741212275211377E-2</v>
      </c>
      <c r="CA9" s="8">
        <f t="shared" si="34"/>
        <v>8.3616282999474989E-2</v>
      </c>
      <c r="CB9" s="8">
        <f t="shared" si="34"/>
        <v>8.3495757173490684E-2</v>
      </c>
      <c r="CC9" s="8">
        <f t="shared" si="34"/>
        <v>8.3371660031421657E-2</v>
      </c>
      <c r="CD9" s="8">
        <f t="shared" si="34"/>
        <v>8.3252051637465879E-2</v>
      </c>
      <c r="CE9" s="8">
        <f t="shared" si="34"/>
        <v>8.3129010413485471E-2</v>
      </c>
      <c r="CF9" s="8">
        <f t="shared" si="34"/>
        <v>8.3006581778299796E-2</v>
      </c>
      <c r="CG9" s="8">
        <f t="shared" si="34"/>
        <v>8.2896566186365192E-2</v>
      </c>
      <c r="CH9" s="8">
        <f t="shared" si="34"/>
        <v>8.2775428450691968E-2</v>
      </c>
      <c r="CI9" s="8">
        <f t="shared" si="34"/>
        <v>8.2658900238478647E-2</v>
      </c>
      <c r="CJ9" s="8">
        <f t="shared" si="34"/>
        <v>8.2539248768298254E-2</v>
      </c>
      <c r="CK9" s="8">
        <f t="shared" si="34"/>
        <v>8.2424224997304035E-2</v>
      </c>
      <c r="CL9" s="8">
        <f t="shared" si="34"/>
        <v>8.2306190888645034E-2</v>
      </c>
      <c r="CM9" s="8">
        <f t="shared" si="34"/>
        <v>8.2189022161405917E-2</v>
      </c>
      <c r="CN9" s="8">
        <f t="shared" si="34"/>
        <v>8.2076481429805614E-2</v>
      </c>
      <c r="CO9" s="8">
        <f t="shared" si="34"/>
        <v>8.1961088882961289E-2</v>
      </c>
      <c r="CP9" s="8">
        <f t="shared" si="34"/>
        <v>8.1850309052338574E-2</v>
      </c>
      <c r="CQ9" s="8">
        <f t="shared" si="34"/>
        <v>8.1736775306403914E-2</v>
      </c>
      <c r="CR9" s="8">
        <f t="shared" si="34"/>
        <v>8.1624212710186966E-2</v>
      </c>
      <c r="CS9" s="8">
        <f t="shared" si="34"/>
        <v>8.1523390762576239E-2</v>
      </c>
      <c r="CT9" s="8">
        <f t="shared" si="34"/>
        <v>8.1412717279275695E-2</v>
      </c>
      <c r="CU9" s="8">
        <f t="shared" si="34"/>
        <v>8.1306576130417502E-2</v>
      </c>
      <c r="CV9" s="8">
        <f t="shared" si="34"/>
        <v>8.1197901356442462E-2</v>
      </c>
      <c r="CW9" s="8">
        <f t="shared" ref="CW9:EB9" si="35">beta1_IPCA +beta2_IPCA* ((1 - EXP(-lambida1_IPCA * CW$5)) / (lambida1_IPCA * CW$5)) +beta3_IPCA * ((1 - EXP(-lambida1_IPCA * CW$5)) / (lambida1_IPCA * CW$5) - EXP(-lambida1_IPCA * CW$5)) + beta4_IPCA* ((1 - EXP(-lambida2_IPCA * CW$5)) / (lambida2_IPCA * CW$5) - EXP(-lambida2_IPCA * CW$5))</f>
        <v>8.1093712530184492E-2</v>
      </c>
      <c r="CX9" s="8">
        <f t="shared" si="35"/>
        <v>8.09870710335929E-2</v>
      </c>
      <c r="CY9" s="8">
        <f t="shared" si="35"/>
        <v>8.0881472661989195E-2</v>
      </c>
      <c r="CZ9" s="8">
        <f t="shared" si="35"/>
        <v>8.0780278531886907E-2</v>
      </c>
      <c r="DA9" s="8">
        <f t="shared" si="35"/>
        <v>8.0676746028830001E-2</v>
      </c>
      <c r="DB9" s="8">
        <f t="shared" si="35"/>
        <v>8.057755715521063E-2</v>
      </c>
      <c r="DC9" s="8">
        <f t="shared" si="35"/>
        <v>8.0476100918990212E-2</v>
      </c>
      <c r="DD9" s="8">
        <f t="shared" si="35"/>
        <v>8.0375701315449494E-2</v>
      </c>
      <c r="DE9" s="8">
        <f t="shared" si="35"/>
        <v>8.0285925826086915E-2</v>
      </c>
      <c r="DF9" s="8">
        <f t="shared" si="35"/>
        <v>8.018753588298673E-2</v>
      </c>
      <c r="DG9" s="8">
        <f t="shared" si="35"/>
        <v>8.009332304782725E-2</v>
      </c>
      <c r="DH9" s="8">
        <f t="shared" si="35"/>
        <v>7.9997003988196036E-2</v>
      </c>
      <c r="DI9" s="8">
        <f t="shared" si="35"/>
        <v>7.9904789825998093E-2</v>
      </c>
      <c r="DJ9" s="8">
        <f t="shared" si="35"/>
        <v>7.9810529182161014E-2</v>
      </c>
      <c r="DK9" s="8">
        <f t="shared" si="35"/>
        <v>7.9717308280053981E-2</v>
      </c>
      <c r="DL9" s="8">
        <f t="shared" si="35"/>
        <v>7.9628079744437932E-2</v>
      </c>
      <c r="DM9" s="8">
        <f t="shared" si="35"/>
        <v>7.9536889613999712E-2</v>
      </c>
      <c r="DN9" s="8">
        <f t="shared" si="35"/>
        <v>7.9449615519776237E-2</v>
      </c>
      <c r="DO9" s="8">
        <f t="shared" si="35"/>
        <v>7.9360432909084455E-2</v>
      </c>
      <c r="DP9" s="8">
        <f t="shared" si="35"/>
        <v>7.9272260536730907E-2</v>
      </c>
      <c r="DQ9" s="8">
        <f t="shared" si="35"/>
        <v>7.919068487794749E-2</v>
      </c>
      <c r="DR9" s="8">
        <f t="shared" si="35"/>
        <v>7.9104446950782809E-2</v>
      </c>
      <c r="DS9" s="8">
        <f t="shared" si="35"/>
        <v>7.9021931729473319E-2</v>
      </c>
      <c r="DT9" s="8">
        <f t="shared" si="35"/>
        <v>7.8937630255983535E-2</v>
      </c>
      <c r="DU9" s="8">
        <f t="shared" si="35"/>
        <v>7.8856973489637675E-2</v>
      </c>
      <c r="DV9" s="8">
        <f t="shared" si="35"/>
        <v>7.8774575887688714E-2</v>
      </c>
      <c r="DW9" s="8">
        <f t="shared" si="35"/>
        <v>7.8693132770700169E-2</v>
      </c>
      <c r="DX9" s="8">
        <f t="shared" si="35"/>
        <v>7.8615217113690419E-2</v>
      </c>
      <c r="DY9" s="8">
        <f t="shared" si="35"/>
        <v>7.8535625554082431E-2</v>
      </c>
      <c r="DZ9" s="8">
        <f t="shared" si="35"/>
        <v>7.845948428974156E-2</v>
      </c>
      <c r="EA9" s="8">
        <f t="shared" si="35"/>
        <v>7.8381707975299295E-2</v>
      </c>
      <c r="EB9" s="8">
        <f t="shared" si="35"/>
        <v>7.8304839928052525E-2</v>
      </c>
      <c r="EC9" s="8">
        <f t="shared" ref="EC9:FK9" si="36">beta1_IPCA +beta2_IPCA* ((1 - EXP(-lambida1_IPCA * EC$5)) / (lambida1_IPCA * EC$5)) +beta3_IPCA * ((1 - EXP(-lambida1_IPCA * EC$5)) / (lambida1_IPCA * EC$5) - EXP(-lambida1_IPCA * EC$5)) + beta4_IPCA* ((1 - EXP(-lambida2_IPCA * EC$5)) / (lambida2_IPCA * EC$5) - EXP(-lambida2_IPCA * EC$5))</f>
        <v>7.8236183306224033E-2</v>
      </c>
      <c r="ED9" s="8">
        <f t="shared" si="36"/>
        <v>7.816101693934821E-2</v>
      </c>
      <c r="EE9" s="8">
        <f t="shared" si="36"/>
        <v>7.8089113073416414E-2</v>
      </c>
      <c r="EF9" s="8">
        <f t="shared" si="36"/>
        <v>7.8015668443838754E-2</v>
      </c>
      <c r="EG9" s="8">
        <f t="shared" si="36"/>
        <v>7.7945412112194107E-2</v>
      </c>
      <c r="EH9" s="8">
        <f t="shared" si="36"/>
        <v>7.7873650573448361E-2</v>
      </c>
      <c r="EI9" s="8">
        <f t="shared" si="36"/>
        <v>7.7802729489733102E-2</v>
      </c>
      <c r="EJ9" s="8">
        <f t="shared" si="36"/>
        <v>7.7734886940813583E-2</v>
      </c>
      <c r="EK9" s="8">
        <f t="shared" si="36"/>
        <v>7.7665590305186452E-2</v>
      </c>
      <c r="EL9" s="8">
        <f t="shared" si="36"/>
        <v>7.7599300973610924E-2</v>
      </c>
      <c r="EM9" s="8">
        <f t="shared" si="36"/>
        <v>7.7531589894003439E-2</v>
      </c>
      <c r="EN9" s="8">
        <f t="shared" si="36"/>
        <v>7.7464669726810251E-2</v>
      </c>
      <c r="EO9" s="8">
        <f t="shared" si="36"/>
        <v>7.7404897211263785E-2</v>
      </c>
      <c r="EP9" s="8">
        <f t="shared" si="36"/>
        <v>7.7339454796144486E-2</v>
      </c>
      <c r="EQ9" s="8">
        <f t="shared" si="36"/>
        <v>7.7276849107247539E-2</v>
      </c>
      <c r="ER9" s="8">
        <f t="shared" si="36"/>
        <v>7.7212896844775281E-2</v>
      </c>
      <c r="ES9" s="8">
        <f t="shared" si="36"/>
        <v>7.7151714834784044E-2</v>
      </c>
      <c r="ET9" s="8">
        <f t="shared" si="36"/>
        <v>7.7089214800296568E-2</v>
      </c>
      <c r="EU9" s="8">
        <f t="shared" si="36"/>
        <v>7.7027438399771539E-2</v>
      </c>
      <c r="EV9" s="8">
        <f t="shared" si="36"/>
        <v>7.6968334736963476E-2</v>
      </c>
      <c r="EW9" s="8">
        <f t="shared" si="36"/>
        <v>7.690795429182104E-2</v>
      </c>
      <c r="EX9" s="8">
        <f t="shared" si="36"/>
        <v>7.6850183768581812E-2</v>
      </c>
      <c r="EY9" s="8">
        <f t="shared" si="36"/>
        <v>7.679116267411551E-2</v>
      </c>
      <c r="EZ9" s="8">
        <f t="shared" si="36"/>
        <v>7.6732818567405797E-2</v>
      </c>
      <c r="FA9" s="8">
        <f t="shared" si="36"/>
        <v>7.6680694889982526E-2</v>
      </c>
      <c r="FB9" s="8">
        <f t="shared" si="36"/>
        <v>7.6623613881385028E-2</v>
      </c>
      <c r="FC9" s="8">
        <f t="shared" si="36"/>
        <v>7.656899365515478E-2</v>
      </c>
      <c r="FD9" s="8">
        <f t="shared" si="36"/>
        <v>7.6513184157203568E-2</v>
      </c>
      <c r="FE9" s="8">
        <f t="shared" si="36"/>
        <v>7.6459777753799044E-2</v>
      </c>
      <c r="FF9" s="8">
        <f t="shared" si="36"/>
        <v>7.64052054951814E-2</v>
      </c>
      <c r="FG9" s="8">
        <f t="shared" si="36"/>
        <v>7.6351249099460755E-2</v>
      </c>
      <c r="FH9" s="8">
        <f t="shared" si="36"/>
        <v>7.6299611551012073E-2</v>
      </c>
      <c r="FI9" s="8">
        <f t="shared" si="36"/>
        <v>7.624684210904753E-2</v>
      </c>
      <c r="FJ9" s="8">
        <f t="shared" si="36"/>
        <v>7.6196337460841215E-2</v>
      </c>
      <c r="FK9" s="8">
        <f t="shared" si="36"/>
        <v>7.614472258587468E-2</v>
      </c>
    </row>
    <row r="12" spans="1:167" x14ac:dyDescent="0.35">
      <c r="A12" s="2"/>
      <c r="B12" s="45" t="s">
        <v>71</v>
      </c>
      <c r="C12" s="45"/>
      <c r="D12" s="53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</row>
    <row r="13" spans="1:167" x14ac:dyDescent="0.35">
      <c r="A13" s="24" t="s">
        <v>72</v>
      </c>
      <c r="B13" s="27" t="s">
        <v>73</v>
      </c>
      <c r="D13" s="36"/>
    </row>
    <row r="14" spans="1:167" x14ac:dyDescent="0.35">
      <c r="B14" s="22" t="s">
        <v>74</v>
      </c>
      <c r="C14" s="60">
        <f>in_face</f>
        <v>0</v>
      </c>
      <c r="D14" s="35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</row>
    <row r="15" spans="1:167" x14ac:dyDescent="0.35">
      <c r="B15" s="54" t="s">
        <v>75</v>
      </c>
      <c r="C15" s="45"/>
      <c r="D15" s="45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52"/>
      <c r="DS15" s="52"/>
      <c r="DT15" s="52"/>
      <c r="DU15" s="52"/>
      <c r="DV15" s="52"/>
      <c r="DW15" s="52"/>
      <c r="DX15" s="52"/>
      <c r="DY15" s="52"/>
      <c r="DZ15" s="52"/>
      <c r="EA15" s="52"/>
      <c r="EB15" s="52"/>
      <c r="EC15" s="52"/>
      <c r="ED15" s="52"/>
      <c r="EE15" s="52"/>
      <c r="EF15" s="52"/>
      <c r="EG15" s="52"/>
      <c r="EH15" s="52"/>
      <c r="EI15" s="52"/>
      <c r="EJ15" s="52"/>
      <c r="EK15" s="52"/>
      <c r="EL15" s="52"/>
      <c r="EM15" s="52"/>
      <c r="EN15" s="52"/>
      <c r="EO15" s="52"/>
      <c r="EP15" s="52"/>
      <c r="EQ15" s="52"/>
      <c r="ER15" s="52"/>
      <c r="ES15" s="52"/>
      <c r="ET15" s="52"/>
      <c r="EU15" s="52"/>
      <c r="EV15" s="52"/>
      <c r="EW15" s="52"/>
      <c r="EX15" s="52"/>
      <c r="EY15" s="52"/>
      <c r="EZ15" s="52"/>
      <c r="FA15" s="52"/>
      <c r="FB15" s="52"/>
      <c r="FC15" s="52"/>
      <c r="FD15" s="52"/>
      <c r="FE15" s="52"/>
      <c r="FF15" s="52"/>
      <c r="FG15" s="52"/>
      <c r="FH15" s="52"/>
      <c r="FI15" s="52"/>
      <c r="FJ15" s="52"/>
      <c r="FK15" s="52"/>
    </row>
    <row r="16" spans="1:167" x14ac:dyDescent="0.35">
      <c r="A16" s="24" t="s">
        <v>72</v>
      </c>
      <c r="B16" s="22" t="s">
        <v>76</v>
      </c>
    </row>
    <row r="17" spans="2:167" x14ac:dyDescent="0.35">
      <c r="B17" s="2" t="s">
        <v>77</v>
      </c>
      <c r="C17" s="61">
        <f>vira_data</f>
        <v>46203</v>
      </c>
      <c r="D17" s="32"/>
      <c r="L17" s="31"/>
    </row>
    <row r="18" spans="2:167" x14ac:dyDescent="0.35">
      <c r="B18" s="2" t="s">
        <v>78</v>
      </c>
      <c r="C18" s="32">
        <f>IF(sens_prazo_abs&gt;0,sens_prazo_abs,IF(in_acordo="Sim",in_acordo_prazo,in_prazo+sens_prazo_delta))</f>
        <v>18</v>
      </c>
      <c r="D18" s="32"/>
    </row>
    <row r="19" spans="2:167" x14ac:dyDescent="0.35">
      <c r="B19" s="2" t="s">
        <v>79</v>
      </c>
      <c r="C19" s="62">
        <f>in_corr_pre</f>
        <v>0.08</v>
      </c>
      <c r="D19" s="32" t="str">
        <f>in_corr_pre_idx</f>
        <v>Pré</v>
      </c>
      <c r="E19" s="2">
        <f>IF(D19="CDI",7,8)</f>
        <v>8</v>
      </c>
    </row>
    <row r="20" spans="2:167" x14ac:dyDescent="0.35">
      <c r="B20" s="2" t="s">
        <v>80</v>
      </c>
      <c r="C20" s="63">
        <f>in_corr_prec_spread</f>
        <v>0.02</v>
      </c>
      <c r="D20" s="68" t="str">
        <f>in_corr_prec_idx</f>
        <v>IPCA</v>
      </c>
      <c r="E20" s="2">
        <f>IF(D20="CDI",7,8)</f>
        <v>8</v>
      </c>
    </row>
    <row r="21" spans="2:167" x14ac:dyDescent="0.35">
      <c r="B21" s="2" t="s">
        <v>81</v>
      </c>
      <c r="C21" s="64">
        <f>in_acordo_fator</f>
        <v>0.6</v>
      </c>
      <c r="D21" s="68" t="str">
        <f>in_acordo</f>
        <v>Sim</v>
      </c>
      <c r="E21" s="2">
        <f>IF(D21="CDI",7,8)</f>
        <v>8</v>
      </c>
    </row>
    <row r="22" spans="2:167" x14ac:dyDescent="0.35">
      <c r="B22" s="2" t="s">
        <v>154</v>
      </c>
      <c r="C22" s="2">
        <f>in_causa</f>
        <v>0</v>
      </c>
    </row>
    <row r="23" spans="2:167" x14ac:dyDescent="0.35">
      <c r="B23" s="2" t="s">
        <v>82</v>
      </c>
      <c r="C23" s="25">
        <f>C14</f>
        <v>0</v>
      </c>
    </row>
    <row r="24" spans="2:167" x14ac:dyDescent="0.35">
      <c r="B24" s="45" t="s">
        <v>83</v>
      </c>
      <c r="C24" s="45"/>
      <c r="D24" s="45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</row>
    <row r="25" spans="2:167" outlineLevel="1" x14ac:dyDescent="0.35">
      <c r="B25" s="2" t="s">
        <v>84</v>
      </c>
      <c r="C25" s="26"/>
      <c r="E25" s="26">
        <f>C23</f>
        <v>0</v>
      </c>
      <c r="F25" s="26">
        <f t="shared" ref="F25:AK25" si="37">E30</f>
        <v>0</v>
      </c>
      <c r="G25" s="26">
        <f t="shared" si="37"/>
        <v>0</v>
      </c>
      <c r="H25" s="26">
        <f t="shared" si="37"/>
        <v>0</v>
      </c>
      <c r="I25" s="26">
        <f t="shared" si="37"/>
        <v>0</v>
      </c>
      <c r="J25" s="26">
        <f t="shared" si="37"/>
        <v>0</v>
      </c>
      <c r="K25" s="26">
        <f t="shared" si="37"/>
        <v>0</v>
      </c>
      <c r="L25" s="26">
        <f t="shared" si="37"/>
        <v>0</v>
      </c>
      <c r="M25" s="26">
        <f t="shared" si="37"/>
        <v>0</v>
      </c>
      <c r="N25" s="26">
        <f t="shared" si="37"/>
        <v>0</v>
      </c>
      <c r="O25" s="26">
        <f t="shared" si="37"/>
        <v>0</v>
      </c>
      <c r="P25" s="26">
        <f t="shared" si="37"/>
        <v>0</v>
      </c>
      <c r="Q25" s="26">
        <f t="shared" si="37"/>
        <v>0</v>
      </c>
      <c r="R25" s="26">
        <f t="shared" si="37"/>
        <v>0</v>
      </c>
      <c r="S25" s="26">
        <f t="shared" si="37"/>
        <v>0</v>
      </c>
      <c r="T25" s="26">
        <f t="shared" si="37"/>
        <v>0</v>
      </c>
      <c r="U25" s="26">
        <f t="shared" si="37"/>
        <v>0</v>
      </c>
      <c r="V25" s="26">
        <f t="shared" si="37"/>
        <v>0</v>
      </c>
      <c r="W25" s="26">
        <f t="shared" si="37"/>
        <v>0</v>
      </c>
      <c r="X25" s="26">
        <f t="shared" si="37"/>
        <v>0</v>
      </c>
      <c r="Y25" s="26">
        <f t="shared" si="37"/>
        <v>0</v>
      </c>
      <c r="Z25" s="26">
        <f t="shared" si="37"/>
        <v>0</v>
      </c>
      <c r="AA25" s="26">
        <f t="shared" si="37"/>
        <v>0</v>
      </c>
      <c r="AB25" s="26">
        <f t="shared" si="37"/>
        <v>0</v>
      </c>
      <c r="AC25" s="26">
        <f t="shared" si="37"/>
        <v>0</v>
      </c>
      <c r="AD25" s="26">
        <f t="shared" si="37"/>
        <v>0</v>
      </c>
      <c r="AE25" s="26">
        <f t="shared" si="37"/>
        <v>0</v>
      </c>
      <c r="AF25" s="26">
        <f t="shared" si="37"/>
        <v>0</v>
      </c>
      <c r="AG25" s="26">
        <f t="shared" si="37"/>
        <v>0</v>
      </c>
      <c r="AH25" s="26">
        <f t="shared" si="37"/>
        <v>0</v>
      </c>
      <c r="AI25" s="26">
        <f t="shared" si="37"/>
        <v>0</v>
      </c>
      <c r="AJ25" s="26">
        <f t="shared" si="37"/>
        <v>0</v>
      </c>
      <c r="AK25" s="26">
        <f t="shared" si="37"/>
        <v>0</v>
      </c>
      <c r="AL25" s="26">
        <f t="shared" ref="AL25:BQ25" si="38">AK30</f>
        <v>0</v>
      </c>
      <c r="AM25" s="26">
        <f t="shared" si="38"/>
        <v>0</v>
      </c>
      <c r="AN25" s="26">
        <f t="shared" si="38"/>
        <v>0</v>
      </c>
      <c r="AO25" s="26">
        <f t="shared" si="38"/>
        <v>0</v>
      </c>
      <c r="AP25" s="26">
        <f t="shared" si="38"/>
        <v>0</v>
      </c>
      <c r="AQ25" s="26">
        <f t="shared" si="38"/>
        <v>0</v>
      </c>
      <c r="AR25" s="26">
        <f t="shared" si="38"/>
        <v>0</v>
      </c>
      <c r="AS25" s="26">
        <f t="shared" si="38"/>
        <v>0</v>
      </c>
      <c r="AT25" s="26">
        <f t="shared" si="38"/>
        <v>0</v>
      </c>
      <c r="AU25" s="26">
        <f t="shared" si="38"/>
        <v>0</v>
      </c>
      <c r="AV25" s="26">
        <f t="shared" si="38"/>
        <v>0</v>
      </c>
      <c r="AW25" s="26">
        <f t="shared" si="38"/>
        <v>0</v>
      </c>
      <c r="AX25" s="26">
        <f t="shared" si="38"/>
        <v>0</v>
      </c>
      <c r="AY25" s="26">
        <f t="shared" si="38"/>
        <v>0</v>
      </c>
      <c r="AZ25" s="26">
        <f t="shared" si="38"/>
        <v>0</v>
      </c>
      <c r="BA25" s="26">
        <f t="shared" si="38"/>
        <v>0</v>
      </c>
      <c r="BB25" s="26">
        <f t="shared" si="38"/>
        <v>0</v>
      </c>
      <c r="BC25" s="26">
        <f t="shared" si="38"/>
        <v>0</v>
      </c>
      <c r="BD25" s="26">
        <f t="shared" si="38"/>
        <v>0</v>
      </c>
      <c r="BE25" s="26">
        <f t="shared" si="38"/>
        <v>0</v>
      </c>
      <c r="BF25" s="26">
        <f t="shared" si="38"/>
        <v>0</v>
      </c>
      <c r="BG25" s="26">
        <f t="shared" si="38"/>
        <v>0</v>
      </c>
      <c r="BH25" s="26">
        <f t="shared" si="38"/>
        <v>0</v>
      </c>
      <c r="BI25" s="26">
        <f t="shared" si="38"/>
        <v>0</v>
      </c>
      <c r="BJ25" s="26">
        <f t="shared" si="38"/>
        <v>0</v>
      </c>
      <c r="BK25" s="26">
        <f t="shared" si="38"/>
        <v>0</v>
      </c>
      <c r="BL25" s="26">
        <f t="shared" si="38"/>
        <v>0</v>
      </c>
      <c r="BM25" s="26">
        <f t="shared" si="38"/>
        <v>0</v>
      </c>
      <c r="BN25" s="26">
        <f t="shared" si="38"/>
        <v>0</v>
      </c>
      <c r="BO25" s="26">
        <f t="shared" si="38"/>
        <v>0</v>
      </c>
      <c r="BP25" s="26">
        <f t="shared" si="38"/>
        <v>0</v>
      </c>
      <c r="BQ25" s="26">
        <f t="shared" si="38"/>
        <v>0</v>
      </c>
      <c r="BR25" s="26">
        <f t="shared" ref="BR25:CW25" si="39">BQ30</f>
        <v>0</v>
      </c>
      <c r="BS25" s="26">
        <f t="shared" si="39"/>
        <v>0</v>
      </c>
      <c r="BT25" s="26">
        <f t="shared" si="39"/>
        <v>0</v>
      </c>
      <c r="BU25" s="26">
        <f t="shared" si="39"/>
        <v>0</v>
      </c>
      <c r="BV25" s="26">
        <f t="shared" si="39"/>
        <v>0</v>
      </c>
      <c r="BW25" s="26">
        <f t="shared" si="39"/>
        <v>0</v>
      </c>
      <c r="BX25" s="26">
        <f t="shared" si="39"/>
        <v>0</v>
      </c>
      <c r="BY25" s="26">
        <f t="shared" si="39"/>
        <v>0</v>
      </c>
      <c r="BZ25" s="26">
        <f t="shared" si="39"/>
        <v>0</v>
      </c>
      <c r="CA25" s="26">
        <f t="shared" si="39"/>
        <v>0</v>
      </c>
      <c r="CB25" s="26">
        <f t="shared" si="39"/>
        <v>0</v>
      </c>
      <c r="CC25" s="26">
        <f t="shared" si="39"/>
        <v>0</v>
      </c>
      <c r="CD25" s="26">
        <f t="shared" si="39"/>
        <v>0</v>
      </c>
      <c r="CE25" s="26">
        <f t="shared" si="39"/>
        <v>0</v>
      </c>
      <c r="CF25" s="26">
        <f t="shared" si="39"/>
        <v>0</v>
      </c>
      <c r="CG25" s="26">
        <f t="shared" si="39"/>
        <v>0</v>
      </c>
      <c r="CH25" s="26">
        <f t="shared" si="39"/>
        <v>0</v>
      </c>
      <c r="CI25" s="26">
        <f t="shared" si="39"/>
        <v>0</v>
      </c>
      <c r="CJ25" s="26">
        <f t="shared" si="39"/>
        <v>0</v>
      </c>
      <c r="CK25" s="26">
        <f t="shared" si="39"/>
        <v>0</v>
      </c>
      <c r="CL25" s="26">
        <f t="shared" si="39"/>
        <v>0</v>
      </c>
      <c r="CM25" s="26">
        <f t="shared" si="39"/>
        <v>0</v>
      </c>
      <c r="CN25" s="26">
        <f t="shared" si="39"/>
        <v>0</v>
      </c>
      <c r="CO25" s="26">
        <f t="shared" si="39"/>
        <v>0</v>
      </c>
      <c r="CP25" s="26">
        <f t="shared" si="39"/>
        <v>0</v>
      </c>
      <c r="CQ25" s="26">
        <f t="shared" si="39"/>
        <v>0</v>
      </c>
      <c r="CR25" s="26">
        <f t="shared" si="39"/>
        <v>0</v>
      </c>
      <c r="CS25" s="26">
        <f t="shared" si="39"/>
        <v>0</v>
      </c>
      <c r="CT25" s="26">
        <f t="shared" si="39"/>
        <v>0</v>
      </c>
      <c r="CU25" s="26">
        <f t="shared" si="39"/>
        <v>0</v>
      </c>
      <c r="CV25" s="26">
        <f t="shared" si="39"/>
        <v>0</v>
      </c>
      <c r="CW25" s="26">
        <f t="shared" si="39"/>
        <v>0</v>
      </c>
      <c r="CX25" s="26">
        <f t="shared" ref="CX25:EC25" si="40">CW30</f>
        <v>0</v>
      </c>
      <c r="CY25" s="26">
        <f t="shared" si="40"/>
        <v>0</v>
      </c>
      <c r="CZ25" s="26">
        <f t="shared" si="40"/>
        <v>0</v>
      </c>
      <c r="DA25" s="26">
        <f t="shared" si="40"/>
        <v>0</v>
      </c>
      <c r="DB25" s="26">
        <f t="shared" si="40"/>
        <v>0</v>
      </c>
      <c r="DC25" s="26">
        <f t="shared" si="40"/>
        <v>0</v>
      </c>
      <c r="DD25" s="26">
        <f t="shared" si="40"/>
        <v>0</v>
      </c>
      <c r="DE25" s="26">
        <f t="shared" si="40"/>
        <v>0</v>
      </c>
      <c r="DF25" s="26">
        <f t="shared" si="40"/>
        <v>0</v>
      </c>
      <c r="DG25" s="26">
        <f t="shared" si="40"/>
        <v>0</v>
      </c>
      <c r="DH25" s="26">
        <f t="shared" si="40"/>
        <v>0</v>
      </c>
      <c r="DI25" s="26">
        <f t="shared" si="40"/>
        <v>0</v>
      </c>
      <c r="DJ25" s="26">
        <f t="shared" si="40"/>
        <v>0</v>
      </c>
      <c r="DK25" s="26">
        <f t="shared" si="40"/>
        <v>0</v>
      </c>
      <c r="DL25" s="26">
        <f t="shared" si="40"/>
        <v>0</v>
      </c>
      <c r="DM25" s="26">
        <f t="shared" si="40"/>
        <v>0</v>
      </c>
      <c r="DN25" s="26">
        <f t="shared" si="40"/>
        <v>0</v>
      </c>
      <c r="DO25" s="26">
        <f t="shared" si="40"/>
        <v>0</v>
      </c>
      <c r="DP25" s="26">
        <f t="shared" si="40"/>
        <v>0</v>
      </c>
      <c r="DQ25" s="26">
        <f t="shared" si="40"/>
        <v>0</v>
      </c>
      <c r="DR25" s="26">
        <f t="shared" si="40"/>
        <v>0</v>
      </c>
      <c r="DS25" s="26">
        <f t="shared" si="40"/>
        <v>0</v>
      </c>
      <c r="DT25" s="26">
        <f t="shared" si="40"/>
        <v>0</v>
      </c>
      <c r="DU25" s="26">
        <f t="shared" si="40"/>
        <v>0</v>
      </c>
      <c r="DV25" s="26">
        <f t="shared" si="40"/>
        <v>0</v>
      </c>
      <c r="DW25" s="26">
        <f t="shared" si="40"/>
        <v>0</v>
      </c>
      <c r="DX25" s="26">
        <f t="shared" si="40"/>
        <v>0</v>
      </c>
      <c r="DY25" s="26">
        <f t="shared" si="40"/>
        <v>0</v>
      </c>
      <c r="DZ25" s="26">
        <f t="shared" si="40"/>
        <v>0</v>
      </c>
      <c r="EA25" s="26">
        <f t="shared" si="40"/>
        <v>0</v>
      </c>
      <c r="EB25" s="26">
        <f t="shared" si="40"/>
        <v>0</v>
      </c>
      <c r="EC25" s="26">
        <f t="shared" si="40"/>
        <v>0</v>
      </c>
      <c r="ED25" s="26">
        <f t="shared" ref="ED25:FK25" si="41">EC30</f>
        <v>0</v>
      </c>
      <c r="EE25" s="26">
        <f t="shared" si="41"/>
        <v>0</v>
      </c>
      <c r="EF25" s="26">
        <f t="shared" si="41"/>
        <v>0</v>
      </c>
      <c r="EG25" s="26">
        <f t="shared" si="41"/>
        <v>0</v>
      </c>
      <c r="EH25" s="26">
        <f t="shared" si="41"/>
        <v>0</v>
      </c>
      <c r="EI25" s="26">
        <f t="shared" si="41"/>
        <v>0</v>
      </c>
      <c r="EJ25" s="26">
        <f t="shared" si="41"/>
        <v>0</v>
      </c>
      <c r="EK25" s="26">
        <f t="shared" si="41"/>
        <v>0</v>
      </c>
      <c r="EL25" s="26">
        <f t="shared" si="41"/>
        <v>0</v>
      </c>
      <c r="EM25" s="26">
        <f t="shared" si="41"/>
        <v>0</v>
      </c>
      <c r="EN25" s="26">
        <f t="shared" si="41"/>
        <v>0</v>
      </c>
      <c r="EO25" s="26">
        <f t="shared" si="41"/>
        <v>0</v>
      </c>
      <c r="EP25" s="26">
        <f t="shared" si="41"/>
        <v>0</v>
      </c>
      <c r="EQ25" s="26">
        <f t="shared" si="41"/>
        <v>0</v>
      </c>
      <c r="ER25" s="26">
        <f t="shared" si="41"/>
        <v>0</v>
      </c>
      <c r="ES25" s="26">
        <f t="shared" si="41"/>
        <v>0</v>
      </c>
      <c r="ET25" s="26">
        <f t="shared" si="41"/>
        <v>0</v>
      </c>
      <c r="EU25" s="26">
        <f t="shared" si="41"/>
        <v>0</v>
      </c>
      <c r="EV25" s="26">
        <f t="shared" si="41"/>
        <v>0</v>
      </c>
      <c r="EW25" s="26">
        <f t="shared" si="41"/>
        <v>0</v>
      </c>
      <c r="EX25" s="26">
        <f t="shared" si="41"/>
        <v>0</v>
      </c>
      <c r="EY25" s="26">
        <f t="shared" si="41"/>
        <v>0</v>
      </c>
      <c r="EZ25" s="26">
        <f t="shared" si="41"/>
        <v>0</v>
      </c>
      <c r="FA25" s="26">
        <f t="shared" si="41"/>
        <v>0</v>
      </c>
      <c r="FB25" s="26">
        <f t="shared" si="41"/>
        <v>0</v>
      </c>
      <c r="FC25" s="26">
        <f t="shared" si="41"/>
        <v>0</v>
      </c>
      <c r="FD25" s="26">
        <f t="shared" si="41"/>
        <v>0</v>
      </c>
      <c r="FE25" s="26">
        <f t="shared" si="41"/>
        <v>0</v>
      </c>
      <c r="FF25" s="26">
        <f t="shared" si="41"/>
        <v>0</v>
      </c>
      <c r="FG25" s="26">
        <f t="shared" si="41"/>
        <v>0</v>
      </c>
      <c r="FH25" s="26">
        <f t="shared" si="41"/>
        <v>0</v>
      </c>
      <c r="FI25" s="26">
        <f t="shared" si="41"/>
        <v>0</v>
      </c>
      <c r="FJ25" s="26">
        <f t="shared" si="41"/>
        <v>0</v>
      </c>
      <c r="FK25" s="26">
        <f t="shared" si="41"/>
        <v>0</v>
      </c>
    </row>
    <row r="26" spans="2:167" outlineLevel="1" x14ac:dyDescent="0.35">
      <c r="B26" s="28" t="s">
        <v>85</v>
      </c>
      <c r="E26" s="26">
        <f t="shared" ref="E26:AJ26" si="42">IF(EOMONTH($C17,$C18)&gt;=E$2,IF(AND(in_e_precatorio&lt;&gt;"Sim",E$2&lt;=$C17),(IF($D19="Pré",0,INDEX(Ativo,$E19,MATCH(E$2,header_ativo,0)))+$C19)*E$3/365*$C22,(INDEX(Ativo,$E20,MATCH(E$2,header_ativo,0))+$C20)*E$3/365*$C31),0)</f>
        <v>0</v>
      </c>
      <c r="F26" s="26">
        <f t="shared" si="42"/>
        <v>0</v>
      </c>
      <c r="G26" s="26">
        <f t="shared" si="42"/>
        <v>0</v>
      </c>
      <c r="H26" s="26">
        <f t="shared" si="42"/>
        <v>0</v>
      </c>
      <c r="I26" s="26">
        <f t="shared" si="42"/>
        <v>0</v>
      </c>
      <c r="J26" s="26">
        <f t="shared" si="42"/>
        <v>0</v>
      </c>
      <c r="K26" s="26">
        <f t="shared" si="42"/>
        <v>0</v>
      </c>
      <c r="L26" s="26">
        <f t="shared" si="42"/>
        <v>0</v>
      </c>
      <c r="M26" s="26">
        <f t="shared" si="42"/>
        <v>0</v>
      </c>
      <c r="N26" s="26">
        <f t="shared" si="42"/>
        <v>0</v>
      </c>
      <c r="O26" s="26">
        <f t="shared" si="42"/>
        <v>0</v>
      </c>
      <c r="P26" s="26">
        <f t="shared" si="42"/>
        <v>0</v>
      </c>
      <c r="Q26" s="26">
        <f t="shared" si="42"/>
        <v>0</v>
      </c>
      <c r="R26" s="26">
        <f t="shared" si="42"/>
        <v>0</v>
      </c>
      <c r="S26" s="26">
        <f t="shared" si="42"/>
        <v>0</v>
      </c>
      <c r="T26" s="26">
        <f t="shared" si="42"/>
        <v>0</v>
      </c>
      <c r="U26" s="26">
        <f t="shared" si="42"/>
        <v>0</v>
      </c>
      <c r="V26" s="26">
        <f t="shared" si="42"/>
        <v>0</v>
      </c>
      <c r="W26" s="26">
        <f t="shared" si="42"/>
        <v>0</v>
      </c>
      <c r="X26" s="26">
        <f t="shared" si="42"/>
        <v>0</v>
      </c>
      <c r="Y26" s="26">
        <f t="shared" si="42"/>
        <v>0</v>
      </c>
      <c r="Z26" s="26">
        <f t="shared" si="42"/>
        <v>0</v>
      </c>
      <c r="AA26" s="26">
        <f t="shared" si="42"/>
        <v>0</v>
      </c>
      <c r="AB26" s="26">
        <f t="shared" si="42"/>
        <v>0</v>
      </c>
      <c r="AC26" s="26">
        <f t="shared" si="42"/>
        <v>0</v>
      </c>
      <c r="AD26" s="26">
        <f t="shared" si="42"/>
        <v>0</v>
      </c>
      <c r="AE26" s="26">
        <f t="shared" si="42"/>
        <v>0</v>
      </c>
      <c r="AF26" s="26">
        <f t="shared" si="42"/>
        <v>0</v>
      </c>
      <c r="AG26" s="26">
        <f t="shared" si="42"/>
        <v>0</v>
      </c>
      <c r="AH26" s="26">
        <f t="shared" si="42"/>
        <v>0</v>
      </c>
      <c r="AI26" s="26">
        <f t="shared" si="42"/>
        <v>0</v>
      </c>
      <c r="AJ26" s="26">
        <f t="shared" si="42"/>
        <v>0</v>
      </c>
      <c r="AK26" s="26">
        <f t="shared" ref="AK26:BP26" si="43">IF(EOMONTH($C17,$C18)&gt;=AK$2,IF(AND(in_e_precatorio&lt;&gt;"Sim",AK$2&lt;=$C17),(IF($D19="Pré",0,INDEX(Ativo,$E19,MATCH(AK$2,header_ativo,0)))+$C19)*AK$3/365*$C22,(INDEX(Ativo,$E20,MATCH(AK$2,header_ativo,0))+$C20)*AK$3/365*$C31),0)</f>
        <v>0</v>
      </c>
      <c r="AL26" s="26">
        <f t="shared" si="43"/>
        <v>0</v>
      </c>
      <c r="AM26" s="26">
        <f t="shared" si="43"/>
        <v>0</v>
      </c>
      <c r="AN26" s="26">
        <f t="shared" si="43"/>
        <v>0</v>
      </c>
      <c r="AO26" s="26">
        <f t="shared" si="43"/>
        <v>0</v>
      </c>
      <c r="AP26" s="26">
        <f t="shared" si="43"/>
        <v>0</v>
      </c>
      <c r="AQ26" s="26">
        <f t="shared" si="43"/>
        <v>0</v>
      </c>
      <c r="AR26" s="26">
        <f t="shared" si="43"/>
        <v>0</v>
      </c>
      <c r="AS26" s="26">
        <f t="shared" si="43"/>
        <v>0</v>
      </c>
      <c r="AT26" s="26">
        <f t="shared" si="43"/>
        <v>0</v>
      </c>
      <c r="AU26" s="26">
        <f t="shared" si="43"/>
        <v>0</v>
      </c>
      <c r="AV26" s="26">
        <f t="shared" si="43"/>
        <v>0</v>
      </c>
      <c r="AW26" s="26">
        <f t="shared" si="43"/>
        <v>0</v>
      </c>
      <c r="AX26" s="26">
        <f t="shared" si="43"/>
        <v>0</v>
      </c>
      <c r="AY26" s="26">
        <f t="shared" si="43"/>
        <v>0</v>
      </c>
      <c r="AZ26" s="26">
        <f t="shared" si="43"/>
        <v>0</v>
      </c>
      <c r="BA26" s="26">
        <f t="shared" si="43"/>
        <v>0</v>
      </c>
      <c r="BB26" s="26">
        <f t="shared" si="43"/>
        <v>0</v>
      </c>
      <c r="BC26" s="26">
        <f t="shared" si="43"/>
        <v>0</v>
      </c>
      <c r="BD26" s="26">
        <f t="shared" si="43"/>
        <v>0</v>
      </c>
      <c r="BE26" s="26">
        <f t="shared" si="43"/>
        <v>0</v>
      </c>
      <c r="BF26" s="26">
        <f t="shared" si="43"/>
        <v>0</v>
      </c>
      <c r="BG26" s="26">
        <f t="shared" si="43"/>
        <v>0</v>
      </c>
      <c r="BH26" s="26">
        <f t="shared" si="43"/>
        <v>0</v>
      </c>
      <c r="BI26" s="26">
        <f t="shared" si="43"/>
        <v>0</v>
      </c>
      <c r="BJ26" s="26">
        <f t="shared" si="43"/>
        <v>0</v>
      </c>
      <c r="BK26" s="26">
        <f t="shared" si="43"/>
        <v>0</v>
      </c>
      <c r="BL26" s="26">
        <f t="shared" si="43"/>
        <v>0</v>
      </c>
      <c r="BM26" s="26">
        <f t="shared" si="43"/>
        <v>0</v>
      </c>
      <c r="BN26" s="26">
        <f t="shared" si="43"/>
        <v>0</v>
      </c>
      <c r="BO26" s="26">
        <f t="shared" si="43"/>
        <v>0</v>
      </c>
      <c r="BP26" s="26">
        <f t="shared" si="43"/>
        <v>0</v>
      </c>
      <c r="BQ26" s="26">
        <f t="shared" ref="BQ26:CV26" si="44">IF(EOMONTH($C17,$C18)&gt;=BQ$2,IF(AND(in_e_precatorio&lt;&gt;"Sim",BQ$2&lt;=$C17),(IF($D19="Pré",0,INDEX(Ativo,$E19,MATCH(BQ$2,header_ativo,0)))+$C19)*BQ$3/365*$C22,(INDEX(Ativo,$E20,MATCH(BQ$2,header_ativo,0))+$C20)*BQ$3/365*$C31),0)</f>
        <v>0</v>
      </c>
      <c r="BR26" s="26">
        <f t="shared" si="44"/>
        <v>0</v>
      </c>
      <c r="BS26" s="26">
        <f t="shared" si="44"/>
        <v>0</v>
      </c>
      <c r="BT26" s="26">
        <f t="shared" si="44"/>
        <v>0</v>
      </c>
      <c r="BU26" s="26">
        <f t="shared" si="44"/>
        <v>0</v>
      </c>
      <c r="BV26" s="26">
        <f t="shared" si="44"/>
        <v>0</v>
      </c>
      <c r="BW26" s="26">
        <f t="shared" si="44"/>
        <v>0</v>
      </c>
      <c r="BX26" s="26">
        <f t="shared" si="44"/>
        <v>0</v>
      </c>
      <c r="BY26" s="26">
        <f t="shared" si="44"/>
        <v>0</v>
      </c>
      <c r="BZ26" s="26">
        <f t="shared" si="44"/>
        <v>0</v>
      </c>
      <c r="CA26" s="26">
        <f t="shared" si="44"/>
        <v>0</v>
      </c>
      <c r="CB26" s="26">
        <f t="shared" si="44"/>
        <v>0</v>
      </c>
      <c r="CC26" s="26">
        <f t="shared" si="44"/>
        <v>0</v>
      </c>
      <c r="CD26" s="26">
        <f t="shared" si="44"/>
        <v>0</v>
      </c>
      <c r="CE26" s="26">
        <f t="shared" si="44"/>
        <v>0</v>
      </c>
      <c r="CF26" s="26">
        <f t="shared" si="44"/>
        <v>0</v>
      </c>
      <c r="CG26" s="26">
        <f t="shared" si="44"/>
        <v>0</v>
      </c>
      <c r="CH26" s="26">
        <f t="shared" si="44"/>
        <v>0</v>
      </c>
      <c r="CI26" s="26">
        <f t="shared" si="44"/>
        <v>0</v>
      </c>
      <c r="CJ26" s="26">
        <f t="shared" si="44"/>
        <v>0</v>
      </c>
      <c r="CK26" s="26">
        <f t="shared" si="44"/>
        <v>0</v>
      </c>
      <c r="CL26" s="26">
        <f t="shared" si="44"/>
        <v>0</v>
      </c>
      <c r="CM26" s="26">
        <f t="shared" si="44"/>
        <v>0</v>
      </c>
      <c r="CN26" s="26">
        <f t="shared" si="44"/>
        <v>0</v>
      </c>
      <c r="CO26" s="26">
        <f t="shared" si="44"/>
        <v>0</v>
      </c>
      <c r="CP26" s="26">
        <f t="shared" si="44"/>
        <v>0</v>
      </c>
      <c r="CQ26" s="26">
        <f t="shared" si="44"/>
        <v>0</v>
      </c>
      <c r="CR26" s="26">
        <f t="shared" si="44"/>
        <v>0</v>
      </c>
      <c r="CS26" s="26">
        <f t="shared" si="44"/>
        <v>0</v>
      </c>
      <c r="CT26" s="26">
        <f t="shared" si="44"/>
        <v>0</v>
      </c>
      <c r="CU26" s="26">
        <f t="shared" si="44"/>
        <v>0</v>
      </c>
      <c r="CV26" s="26">
        <f t="shared" si="44"/>
        <v>0</v>
      </c>
      <c r="CW26" s="26">
        <f t="shared" ref="CW26:EB26" si="45">IF(EOMONTH($C17,$C18)&gt;=CW$2,IF(AND(in_e_precatorio&lt;&gt;"Sim",CW$2&lt;=$C17),(IF($D19="Pré",0,INDEX(Ativo,$E19,MATCH(CW$2,header_ativo,0)))+$C19)*CW$3/365*$C22,(INDEX(Ativo,$E20,MATCH(CW$2,header_ativo,0))+$C20)*CW$3/365*$C31),0)</f>
        <v>0</v>
      </c>
      <c r="CX26" s="26">
        <f t="shared" si="45"/>
        <v>0</v>
      </c>
      <c r="CY26" s="26">
        <f t="shared" si="45"/>
        <v>0</v>
      </c>
      <c r="CZ26" s="26">
        <f t="shared" si="45"/>
        <v>0</v>
      </c>
      <c r="DA26" s="26">
        <f t="shared" si="45"/>
        <v>0</v>
      </c>
      <c r="DB26" s="26">
        <f t="shared" si="45"/>
        <v>0</v>
      </c>
      <c r="DC26" s="26">
        <f t="shared" si="45"/>
        <v>0</v>
      </c>
      <c r="DD26" s="26">
        <f t="shared" si="45"/>
        <v>0</v>
      </c>
      <c r="DE26" s="26">
        <f t="shared" si="45"/>
        <v>0</v>
      </c>
      <c r="DF26" s="26">
        <f t="shared" si="45"/>
        <v>0</v>
      </c>
      <c r="DG26" s="26">
        <f t="shared" si="45"/>
        <v>0</v>
      </c>
      <c r="DH26" s="26">
        <f t="shared" si="45"/>
        <v>0</v>
      </c>
      <c r="DI26" s="26">
        <f t="shared" si="45"/>
        <v>0</v>
      </c>
      <c r="DJ26" s="26">
        <f t="shared" si="45"/>
        <v>0</v>
      </c>
      <c r="DK26" s="26">
        <f t="shared" si="45"/>
        <v>0</v>
      </c>
      <c r="DL26" s="26">
        <f t="shared" si="45"/>
        <v>0</v>
      </c>
      <c r="DM26" s="26">
        <f t="shared" si="45"/>
        <v>0</v>
      </c>
      <c r="DN26" s="26">
        <f t="shared" si="45"/>
        <v>0</v>
      </c>
      <c r="DO26" s="26">
        <f t="shared" si="45"/>
        <v>0</v>
      </c>
      <c r="DP26" s="26">
        <f t="shared" si="45"/>
        <v>0</v>
      </c>
      <c r="DQ26" s="26">
        <f t="shared" si="45"/>
        <v>0</v>
      </c>
      <c r="DR26" s="26">
        <f t="shared" si="45"/>
        <v>0</v>
      </c>
      <c r="DS26" s="26">
        <f t="shared" si="45"/>
        <v>0</v>
      </c>
      <c r="DT26" s="26">
        <f t="shared" si="45"/>
        <v>0</v>
      </c>
      <c r="DU26" s="26">
        <f t="shared" si="45"/>
        <v>0</v>
      </c>
      <c r="DV26" s="26">
        <f t="shared" si="45"/>
        <v>0</v>
      </c>
      <c r="DW26" s="26">
        <f t="shared" si="45"/>
        <v>0</v>
      </c>
      <c r="DX26" s="26">
        <f t="shared" si="45"/>
        <v>0</v>
      </c>
      <c r="DY26" s="26">
        <f t="shared" si="45"/>
        <v>0</v>
      </c>
      <c r="DZ26" s="26">
        <f t="shared" si="45"/>
        <v>0</v>
      </c>
      <c r="EA26" s="26">
        <f t="shared" si="45"/>
        <v>0</v>
      </c>
      <c r="EB26" s="26">
        <f t="shared" si="45"/>
        <v>0</v>
      </c>
      <c r="EC26" s="26">
        <f t="shared" ref="EC26:FK26" si="46">IF(EOMONTH($C17,$C18)&gt;=EC$2,IF(AND(in_e_precatorio&lt;&gt;"Sim",EC$2&lt;=$C17),(IF($D19="Pré",0,INDEX(Ativo,$E19,MATCH(EC$2,header_ativo,0)))+$C19)*EC$3/365*$C22,(INDEX(Ativo,$E20,MATCH(EC$2,header_ativo,0))+$C20)*EC$3/365*$C31),0)</f>
        <v>0</v>
      </c>
      <c r="ED26" s="26">
        <f t="shared" si="46"/>
        <v>0</v>
      </c>
      <c r="EE26" s="26">
        <f t="shared" si="46"/>
        <v>0</v>
      </c>
      <c r="EF26" s="26">
        <f t="shared" si="46"/>
        <v>0</v>
      </c>
      <c r="EG26" s="26">
        <f t="shared" si="46"/>
        <v>0</v>
      </c>
      <c r="EH26" s="26">
        <f t="shared" si="46"/>
        <v>0</v>
      </c>
      <c r="EI26" s="26">
        <f t="shared" si="46"/>
        <v>0</v>
      </c>
      <c r="EJ26" s="26">
        <f t="shared" si="46"/>
        <v>0</v>
      </c>
      <c r="EK26" s="26">
        <f t="shared" si="46"/>
        <v>0</v>
      </c>
      <c r="EL26" s="26">
        <f t="shared" si="46"/>
        <v>0</v>
      </c>
      <c r="EM26" s="26">
        <f t="shared" si="46"/>
        <v>0</v>
      </c>
      <c r="EN26" s="26">
        <f t="shared" si="46"/>
        <v>0</v>
      </c>
      <c r="EO26" s="26">
        <f t="shared" si="46"/>
        <v>0</v>
      </c>
      <c r="EP26" s="26">
        <f t="shared" si="46"/>
        <v>0</v>
      </c>
      <c r="EQ26" s="26">
        <f t="shared" si="46"/>
        <v>0</v>
      </c>
      <c r="ER26" s="26">
        <f t="shared" si="46"/>
        <v>0</v>
      </c>
      <c r="ES26" s="26">
        <f t="shared" si="46"/>
        <v>0</v>
      </c>
      <c r="ET26" s="26">
        <f t="shared" si="46"/>
        <v>0</v>
      </c>
      <c r="EU26" s="26">
        <f t="shared" si="46"/>
        <v>0</v>
      </c>
      <c r="EV26" s="26">
        <f t="shared" si="46"/>
        <v>0</v>
      </c>
      <c r="EW26" s="26">
        <f t="shared" si="46"/>
        <v>0</v>
      </c>
      <c r="EX26" s="26">
        <f t="shared" si="46"/>
        <v>0</v>
      </c>
      <c r="EY26" s="26">
        <f t="shared" si="46"/>
        <v>0</v>
      </c>
      <c r="EZ26" s="26">
        <f t="shared" si="46"/>
        <v>0</v>
      </c>
      <c r="FA26" s="26">
        <f t="shared" si="46"/>
        <v>0</v>
      </c>
      <c r="FB26" s="26">
        <f t="shared" si="46"/>
        <v>0</v>
      </c>
      <c r="FC26" s="26">
        <f t="shared" si="46"/>
        <v>0</v>
      </c>
      <c r="FD26" s="26">
        <f t="shared" si="46"/>
        <v>0</v>
      </c>
      <c r="FE26" s="26">
        <f t="shared" si="46"/>
        <v>0</v>
      </c>
      <c r="FF26" s="26">
        <f t="shared" si="46"/>
        <v>0</v>
      </c>
      <c r="FG26" s="26">
        <f t="shared" si="46"/>
        <v>0</v>
      </c>
      <c r="FH26" s="26">
        <f t="shared" si="46"/>
        <v>0</v>
      </c>
      <c r="FI26" s="26">
        <f t="shared" si="46"/>
        <v>0</v>
      </c>
      <c r="FJ26" s="26">
        <f t="shared" si="46"/>
        <v>0</v>
      </c>
      <c r="FK26" s="26">
        <f t="shared" si="46"/>
        <v>0</v>
      </c>
    </row>
    <row r="27" spans="2:167" outlineLevel="1" x14ac:dyDescent="0.35">
      <c r="B27" s="28" t="s">
        <v>86</v>
      </c>
      <c r="E27" s="26">
        <f>IF(E$2=EOMONTH($C17,$C18),SUM($E26:E26),0)</f>
        <v>0</v>
      </c>
      <c r="F27" s="26">
        <f>IF(F$2=EOMONTH($C17,$C18),SUM($E26:F26),0)</f>
        <v>0</v>
      </c>
      <c r="G27" s="26">
        <f>IF(G$2=EOMONTH($C17,$C18),SUM($E26:G26),0)</f>
        <v>0</v>
      </c>
      <c r="H27" s="26">
        <f>IF(H$2=EOMONTH($C17,$C18),SUM($E26:H26),0)</f>
        <v>0</v>
      </c>
      <c r="I27" s="26">
        <f>IF(I$2=EOMONTH($C17,$C18),SUM($E26:I26),0)</f>
        <v>0</v>
      </c>
      <c r="J27" s="26">
        <f>IF(J$2=EOMONTH($C17,$C18),SUM($E26:J26),0)</f>
        <v>0</v>
      </c>
      <c r="K27" s="26">
        <f>IF(K$2=EOMONTH($C17,$C18),SUM($E26:K26),0)</f>
        <v>0</v>
      </c>
      <c r="L27" s="26">
        <f>IF(L$2=EOMONTH($C17,$C18),SUM($E26:L26),0)</f>
        <v>0</v>
      </c>
      <c r="M27" s="26">
        <f>IF(M$2=EOMONTH($C17,$C18),SUM($E26:M26),0)</f>
        <v>0</v>
      </c>
      <c r="N27" s="26">
        <f>IF(N$2=EOMONTH($C17,$C18),SUM($E26:N26),0)</f>
        <v>0</v>
      </c>
      <c r="O27" s="26">
        <f>IF(O$2=EOMONTH($C17,$C18),SUM($E26:O26),0)</f>
        <v>0</v>
      </c>
      <c r="P27" s="26">
        <f>IF(P$2=EOMONTH($C17,$C18),SUM($E26:P26),0)</f>
        <v>0</v>
      </c>
      <c r="Q27" s="26">
        <f>IF(Q$2=EOMONTH($C17,$C18),SUM($E26:Q26),0)</f>
        <v>0</v>
      </c>
      <c r="R27" s="26">
        <f>IF(R$2=EOMONTH($C17,$C18),SUM($E26:R26),0)</f>
        <v>0</v>
      </c>
      <c r="S27" s="26">
        <f>IF(S$2=EOMONTH($C17,$C18),SUM($E26:S26),0)</f>
        <v>0</v>
      </c>
      <c r="T27" s="26">
        <f>IF(T$2=EOMONTH($C17,$C18),SUM($E26:T26),0)</f>
        <v>0</v>
      </c>
      <c r="U27" s="26">
        <f>IF(U$2=EOMONTH($C17,$C18),SUM($E26:U26),0)</f>
        <v>0</v>
      </c>
      <c r="V27" s="26">
        <f>IF(V$2=EOMONTH($C17,$C18),SUM($E26:V26),0)</f>
        <v>0</v>
      </c>
      <c r="W27" s="26">
        <f>IF(W$2=EOMONTH($C17,$C18),SUM($E26:W26),0)</f>
        <v>0</v>
      </c>
      <c r="X27" s="26">
        <f>IF(X$2=EOMONTH($C17,$C18),SUM($E26:X26),0)</f>
        <v>0</v>
      </c>
      <c r="Y27" s="26">
        <f>IF(Y$2=EOMONTH($C17,$C18),SUM($E26:Y26),0)</f>
        <v>0</v>
      </c>
      <c r="Z27" s="26">
        <f>IF(Z$2=EOMONTH($C17,$C18),SUM($E26:Z26),0)</f>
        <v>0</v>
      </c>
      <c r="AA27" s="26">
        <f>IF(AA$2=EOMONTH($C17,$C18),SUM($E26:AA26),0)</f>
        <v>0</v>
      </c>
      <c r="AB27" s="26">
        <f>IF(AB$2=EOMONTH($C17,$C18),SUM($E26:AB26),0)</f>
        <v>0</v>
      </c>
      <c r="AC27" s="26">
        <f>IF(AC$2=EOMONTH($C17,$C18),SUM($E26:AC26),0)</f>
        <v>0</v>
      </c>
      <c r="AD27" s="26">
        <f>IF(AD$2=EOMONTH($C17,$C18),SUM($E26:AD26),0)</f>
        <v>0</v>
      </c>
      <c r="AE27" s="26">
        <f>IF(AE$2=EOMONTH($C17,$C18),SUM($E26:AE26),0)</f>
        <v>0</v>
      </c>
      <c r="AF27" s="26">
        <f>IF(AF$2=EOMONTH($C17,$C18),SUM($E26:AF26),0)</f>
        <v>0</v>
      </c>
      <c r="AG27" s="26">
        <f>IF(AG$2=EOMONTH($C17,$C18),SUM($E26:AG26),0)</f>
        <v>0</v>
      </c>
      <c r="AH27" s="26">
        <f>IF(AH$2=EOMONTH($C17,$C18),SUM($E26:AH26),0)</f>
        <v>0</v>
      </c>
      <c r="AI27" s="26">
        <f>IF(AI$2=EOMONTH($C17,$C18),SUM($E26:AI26),0)</f>
        <v>0</v>
      </c>
      <c r="AJ27" s="26">
        <f>IF(AJ$2=EOMONTH($C17,$C18),SUM($E26:AJ26),0)</f>
        <v>0</v>
      </c>
      <c r="AK27" s="26">
        <f>IF(AK$2=EOMONTH($C17,$C18),SUM($E26:AK26),0)</f>
        <v>0</v>
      </c>
      <c r="AL27" s="26">
        <f>IF(AL$2=EOMONTH($C17,$C18),SUM($E26:AL26),0)</f>
        <v>0</v>
      </c>
      <c r="AM27" s="26">
        <f>IF(AM$2=EOMONTH($C17,$C18),SUM($E26:AM26),0)</f>
        <v>0</v>
      </c>
      <c r="AN27" s="26">
        <f>IF(AN$2=EOMONTH($C17,$C18),SUM($E26:AN26),0)</f>
        <v>0</v>
      </c>
      <c r="AO27" s="26">
        <f>IF(AO$2=EOMONTH($C17,$C18),SUM($E26:AO26),0)</f>
        <v>0</v>
      </c>
      <c r="AP27" s="26">
        <f>IF(AP$2=EOMONTH($C17,$C18),SUM($E26:AP26),0)</f>
        <v>0</v>
      </c>
      <c r="AQ27" s="26">
        <f>IF(AQ$2=EOMONTH($C17,$C18),SUM($E26:AQ26),0)</f>
        <v>0</v>
      </c>
      <c r="AR27" s="26">
        <f>IF(AR$2=EOMONTH($C17,$C18),SUM($E26:AR26),0)</f>
        <v>0</v>
      </c>
      <c r="AS27" s="26">
        <f>IF(AS$2=EOMONTH($C17,$C18),SUM($E26:AS26),0)</f>
        <v>0</v>
      </c>
      <c r="AT27" s="26">
        <f>IF(AT$2=EOMONTH($C17,$C18),SUM($E26:AT26),0)</f>
        <v>0</v>
      </c>
      <c r="AU27" s="26">
        <f>IF(AU$2=EOMONTH($C17,$C18),SUM($E26:AU26),0)</f>
        <v>0</v>
      </c>
      <c r="AV27" s="26">
        <f>IF(AV$2=EOMONTH($C17,$C18),SUM($E26:AV26),0)</f>
        <v>0</v>
      </c>
      <c r="AW27" s="26">
        <f>IF(AW$2=EOMONTH($C17,$C18),SUM($E26:AW26),0)</f>
        <v>0</v>
      </c>
      <c r="AX27" s="26">
        <f>IF(AX$2=EOMONTH($C17,$C18),SUM($E26:AX26),0)</f>
        <v>0</v>
      </c>
      <c r="AY27" s="26">
        <f>IF(AY$2=EOMONTH($C17,$C18),SUM($E26:AY26),0)</f>
        <v>0</v>
      </c>
      <c r="AZ27" s="26">
        <f>IF(AZ$2=EOMONTH($C17,$C18),SUM($E26:AZ26),0)</f>
        <v>0</v>
      </c>
      <c r="BA27" s="26">
        <f>IF(BA$2=EOMONTH($C17,$C18),SUM($E26:BA26),0)</f>
        <v>0</v>
      </c>
      <c r="BB27" s="26">
        <f>IF(BB$2=EOMONTH($C17,$C18),SUM($E26:BB26),0)</f>
        <v>0</v>
      </c>
      <c r="BC27" s="26">
        <f>IF(BC$2=EOMONTH($C17,$C18),SUM($E26:BC26),0)</f>
        <v>0</v>
      </c>
      <c r="BD27" s="26">
        <f>IF(BD$2=EOMONTH($C17,$C18),SUM($E26:BD26),0)</f>
        <v>0</v>
      </c>
      <c r="BE27" s="26">
        <f>IF(BE$2=EOMONTH($C17,$C18),SUM($E26:BE26),0)</f>
        <v>0</v>
      </c>
      <c r="BF27" s="26">
        <f>IF(BF$2=EOMONTH($C17,$C18),SUM($E26:BF26),0)</f>
        <v>0</v>
      </c>
      <c r="BG27" s="26">
        <f>IF(BG$2=EOMONTH($C17,$C18),SUM($E26:BG26),0)</f>
        <v>0</v>
      </c>
      <c r="BH27" s="26">
        <f>IF(BH$2=EOMONTH($C17,$C18),SUM($E26:BH26),0)</f>
        <v>0</v>
      </c>
      <c r="BI27" s="26">
        <f>IF(BI$2=EOMONTH($C17,$C18),SUM($E26:BI26),0)</f>
        <v>0</v>
      </c>
      <c r="BJ27" s="26">
        <f>IF(BJ$2=EOMONTH($C17,$C18),SUM($E26:BJ26),0)</f>
        <v>0</v>
      </c>
      <c r="BK27" s="26">
        <f>IF(BK$2=EOMONTH($C17,$C18),SUM($E26:BK26),0)</f>
        <v>0</v>
      </c>
      <c r="BL27" s="26">
        <f>IF(BL$2=EOMONTH($C17,$C18),SUM($E26:BL26),0)</f>
        <v>0</v>
      </c>
      <c r="BM27" s="26">
        <f>IF(BM$2=EOMONTH($C17,$C18),SUM($E26:BM26),0)</f>
        <v>0</v>
      </c>
      <c r="BN27" s="26">
        <f>IF(BN$2=EOMONTH($C17,$C18),SUM($E26:BN26),0)</f>
        <v>0</v>
      </c>
      <c r="BO27" s="26">
        <f>IF(BO$2=EOMONTH($C17,$C18),SUM($E26:BO26),0)</f>
        <v>0</v>
      </c>
      <c r="BP27" s="26">
        <f>IF(BP$2=EOMONTH($C17,$C18),SUM($E26:BP26),0)</f>
        <v>0</v>
      </c>
      <c r="BQ27" s="26">
        <f>IF(BQ$2=EOMONTH($C17,$C18),SUM($E26:BQ26),0)</f>
        <v>0</v>
      </c>
      <c r="BR27" s="26">
        <f>IF(BR$2=EOMONTH($C17,$C18),SUM($E26:BR26),0)</f>
        <v>0</v>
      </c>
      <c r="BS27" s="26">
        <f>IF(BS$2=EOMONTH($C17,$C18),SUM($E26:BS26),0)</f>
        <v>0</v>
      </c>
      <c r="BT27" s="26">
        <f>IF(BT$2=EOMONTH($C17,$C18),SUM($E26:BT26),0)</f>
        <v>0</v>
      </c>
      <c r="BU27" s="26">
        <f>IF(BU$2=EOMONTH($C17,$C18),SUM($E26:BU26),0)</f>
        <v>0</v>
      </c>
      <c r="BV27" s="26">
        <f>IF(BV$2=EOMONTH($C17,$C18),SUM($E26:BV26),0)</f>
        <v>0</v>
      </c>
      <c r="BW27" s="26">
        <f>IF(BW$2=EOMONTH($C17,$C18),SUM($E26:BW26),0)</f>
        <v>0</v>
      </c>
      <c r="BX27" s="26">
        <f>IF(BX$2=EOMONTH($C17,$C18),SUM($E26:BX26),0)</f>
        <v>0</v>
      </c>
      <c r="BY27" s="26">
        <f>IF(BY$2=EOMONTH($C17,$C18),SUM($E26:BY26),0)</f>
        <v>0</v>
      </c>
      <c r="BZ27" s="26">
        <f>IF(BZ$2=EOMONTH($C17,$C18),SUM($E26:BZ26),0)</f>
        <v>0</v>
      </c>
      <c r="CA27" s="26">
        <f>IF(CA$2=EOMONTH($C17,$C18),SUM($E26:CA26),0)</f>
        <v>0</v>
      </c>
      <c r="CB27" s="26">
        <f>IF(CB$2=EOMONTH($C17,$C18),SUM($E26:CB26),0)</f>
        <v>0</v>
      </c>
      <c r="CC27" s="26">
        <f>IF(CC$2=EOMONTH($C17,$C18),SUM($E26:CC26),0)</f>
        <v>0</v>
      </c>
      <c r="CD27" s="26">
        <f>IF(CD$2=EOMONTH($C17,$C18),SUM($E26:CD26),0)</f>
        <v>0</v>
      </c>
      <c r="CE27" s="26">
        <f>IF(CE$2=EOMONTH($C17,$C18),SUM($E26:CE26),0)</f>
        <v>0</v>
      </c>
      <c r="CF27" s="26">
        <f>IF(CF$2=EOMONTH($C17,$C18),SUM($E26:CF26),0)</f>
        <v>0</v>
      </c>
      <c r="CG27" s="26">
        <f>IF(CG$2=EOMONTH($C17,$C18),SUM($E26:CG26),0)</f>
        <v>0</v>
      </c>
      <c r="CH27" s="26">
        <f>IF(CH$2=EOMONTH($C17,$C18),SUM($E26:CH26),0)</f>
        <v>0</v>
      </c>
      <c r="CI27" s="26">
        <f>IF(CI$2=EOMONTH($C17,$C18),SUM($E26:CI26),0)</f>
        <v>0</v>
      </c>
      <c r="CJ27" s="26">
        <f>IF(CJ$2=EOMONTH($C17,$C18),SUM($E26:CJ26),0)</f>
        <v>0</v>
      </c>
      <c r="CK27" s="26">
        <f>IF(CK$2=EOMONTH($C17,$C18),SUM($E26:CK26),0)</f>
        <v>0</v>
      </c>
      <c r="CL27" s="26">
        <f>IF(CL$2=EOMONTH($C17,$C18),SUM($E26:CL26),0)</f>
        <v>0</v>
      </c>
      <c r="CM27" s="26">
        <f>IF(CM$2=EOMONTH($C17,$C18),SUM($E26:CM26),0)</f>
        <v>0</v>
      </c>
      <c r="CN27" s="26">
        <f>IF(CN$2=EOMONTH($C17,$C18),SUM($E26:CN26),0)</f>
        <v>0</v>
      </c>
      <c r="CO27" s="26">
        <f>IF(CO$2=EOMONTH($C17,$C18),SUM($E26:CO26),0)</f>
        <v>0</v>
      </c>
      <c r="CP27" s="26">
        <f>IF(CP$2=EOMONTH($C17,$C18),SUM($E26:CP26),0)</f>
        <v>0</v>
      </c>
      <c r="CQ27" s="26">
        <f>IF(CQ$2=EOMONTH($C17,$C18),SUM($E26:CQ26),0)</f>
        <v>0</v>
      </c>
      <c r="CR27" s="26">
        <f>IF(CR$2=EOMONTH($C17,$C18),SUM($E26:CR26),0)</f>
        <v>0</v>
      </c>
      <c r="CS27" s="26">
        <f>IF(CS$2=EOMONTH($C17,$C18),SUM($E26:CS26),0)</f>
        <v>0</v>
      </c>
      <c r="CT27" s="26">
        <f>IF(CT$2=EOMONTH($C17,$C18),SUM($E26:CT26),0)</f>
        <v>0</v>
      </c>
      <c r="CU27" s="26">
        <f>IF(CU$2=EOMONTH($C17,$C18),SUM($E26:CU26),0)</f>
        <v>0</v>
      </c>
      <c r="CV27" s="26">
        <f>IF(CV$2=EOMONTH($C17,$C18),SUM($E26:CV26),0)</f>
        <v>0</v>
      </c>
      <c r="CW27" s="26">
        <f>IF(CW$2=EOMONTH($C17,$C18),SUM($E26:CW26),0)</f>
        <v>0</v>
      </c>
      <c r="CX27" s="26">
        <f>IF(CX$2=EOMONTH($C17,$C18),SUM($E26:CX26),0)</f>
        <v>0</v>
      </c>
      <c r="CY27" s="26">
        <f>IF(CY$2=EOMONTH($C17,$C18),SUM($E26:CY26),0)</f>
        <v>0</v>
      </c>
      <c r="CZ27" s="26">
        <f>IF(CZ$2=EOMONTH($C17,$C18),SUM($E26:CZ26),0)</f>
        <v>0</v>
      </c>
      <c r="DA27" s="26">
        <f>IF(DA$2=EOMONTH($C17,$C18),SUM($E26:DA26),0)</f>
        <v>0</v>
      </c>
      <c r="DB27" s="26">
        <f>IF(DB$2=EOMONTH($C17,$C18),SUM($E26:DB26),0)</f>
        <v>0</v>
      </c>
      <c r="DC27" s="26">
        <f>IF(DC$2=EOMONTH($C17,$C18),SUM($E26:DC26),0)</f>
        <v>0</v>
      </c>
      <c r="DD27" s="26">
        <f>IF(DD$2=EOMONTH($C17,$C18),SUM($E26:DD26),0)</f>
        <v>0</v>
      </c>
      <c r="DE27" s="26">
        <f>IF(DE$2=EOMONTH($C17,$C18),SUM($E26:DE26),0)</f>
        <v>0</v>
      </c>
      <c r="DF27" s="26">
        <f>IF(DF$2=EOMONTH($C17,$C18),SUM($E26:DF26),0)</f>
        <v>0</v>
      </c>
      <c r="DG27" s="26">
        <f>IF(DG$2=EOMONTH($C17,$C18),SUM($E26:DG26),0)</f>
        <v>0</v>
      </c>
      <c r="DH27" s="26">
        <f>IF(DH$2=EOMONTH($C17,$C18),SUM($E26:DH26),0)</f>
        <v>0</v>
      </c>
      <c r="DI27" s="26">
        <f>IF(DI$2=EOMONTH($C17,$C18),SUM($E26:DI26),0)</f>
        <v>0</v>
      </c>
      <c r="DJ27" s="26">
        <f>IF(DJ$2=EOMONTH($C17,$C18),SUM($E26:DJ26),0)</f>
        <v>0</v>
      </c>
      <c r="DK27" s="26">
        <f>IF(DK$2=EOMONTH($C17,$C18),SUM($E26:DK26),0)</f>
        <v>0</v>
      </c>
      <c r="DL27" s="26">
        <f>IF(DL$2=EOMONTH($C17,$C18),SUM($E26:DL26),0)</f>
        <v>0</v>
      </c>
      <c r="DM27" s="26">
        <f>IF(DM$2=EOMONTH($C17,$C18),SUM($E26:DM26),0)</f>
        <v>0</v>
      </c>
      <c r="DN27" s="26">
        <f>IF(DN$2=EOMONTH($C17,$C18),SUM($E26:DN26),0)</f>
        <v>0</v>
      </c>
      <c r="DO27" s="26">
        <f>IF(DO$2=EOMONTH($C17,$C18),SUM($E26:DO26),0)</f>
        <v>0</v>
      </c>
      <c r="DP27" s="26">
        <f>IF(DP$2=EOMONTH($C17,$C18),SUM($E26:DP26),0)</f>
        <v>0</v>
      </c>
      <c r="DQ27" s="26">
        <f>IF(DQ$2=EOMONTH($C17,$C18),SUM($E26:DQ26),0)</f>
        <v>0</v>
      </c>
      <c r="DR27" s="26">
        <f>IF(DR$2=EOMONTH($C17,$C18),SUM($E26:DR26),0)</f>
        <v>0</v>
      </c>
      <c r="DS27" s="26">
        <f>IF(DS$2=EOMONTH($C17,$C18),SUM($E26:DS26),0)</f>
        <v>0</v>
      </c>
      <c r="DT27" s="26">
        <f>IF(DT$2=EOMONTH($C17,$C18),SUM($E26:DT26),0)</f>
        <v>0</v>
      </c>
      <c r="DU27" s="26">
        <f>IF(DU$2=EOMONTH($C17,$C18),SUM($E26:DU26),0)</f>
        <v>0</v>
      </c>
      <c r="DV27" s="26">
        <f>IF(DV$2=EOMONTH($C17,$C18),SUM($E26:DV26),0)</f>
        <v>0</v>
      </c>
      <c r="DW27" s="26">
        <f>IF(DW$2=EOMONTH($C17,$C18),SUM($E26:DW26),0)</f>
        <v>0</v>
      </c>
      <c r="DX27" s="26">
        <f>IF(DX$2=EOMONTH($C17,$C18),SUM($E26:DX26),0)</f>
        <v>0</v>
      </c>
      <c r="DY27" s="26">
        <f>IF(DY$2=EOMONTH($C17,$C18),SUM($E26:DY26),0)</f>
        <v>0</v>
      </c>
      <c r="DZ27" s="26">
        <f>IF(DZ$2=EOMONTH($C17,$C18),SUM($E26:DZ26),0)</f>
        <v>0</v>
      </c>
      <c r="EA27" s="26">
        <f>IF(EA$2=EOMONTH($C17,$C18),SUM($E26:EA26),0)</f>
        <v>0</v>
      </c>
      <c r="EB27" s="26">
        <f>IF(EB$2=EOMONTH($C17,$C18),SUM($E26:EB26),0)</f>
        <v>0</v>
      </c>
      <c r="EC27" s="26">
        <f>IF(EC$2=EOMONTH($C17,$C18),SUM($E26:EC26),0)</f>
        <v>0</v>
      </c>
      <c r="ED27" s="26">
        <f>IF(ED$2=EOMONTH($C17,$C18),SUM($E26:ED26),0)</f>
        <v>0</v>
      </c>
      <c r="EE27" s="26">
        <f>IF(EE$2=EOMONTH($C17,$C18),SUM($E26:EE26),0)</f>
        <v>0</v>
      </c>
      <c r="EF27" s="26">
        <f>IF(EF$2=EOMONTH($C17,$C18),SUM($E26:EF26),0)</f>
        <v>0</v>
      </c>
      <c r="EG27" s="26">
        <f>IF(EG$2=EOMONTH($C17,$C18),SUM($E26:EG26),0)</f>
        <v>0</v>
      </c>
      <c r="EH27" s="26">
        <f>IF(EH$2=EOMONTH($C17,$C18),SUM($E26:EH26),0)</f>
        <v>0</v>
      </c>
      <c r="EI27" s="26">
        <f>IF(EI$2=EOMONTH($C17,$C18),SUM($E26:EI26),0)</f>
        <v>0</v>
      </c>
      <c r="EJ27" s="26">
        <f>IF(EJ$2=EOMONTH($C17,$C18),SUM($E26:EJ26),0)</f>
        <v>0</v>
      </c>
      <c r="EK27" s="26">
        <f>IF(EK$2=EOMONTH($C17,$C18),SUM($E26:EK26),0)</f>
        <v>0</v>
      </c>
      <c r="EL27" s="26">
        <f>IF(EL$2=EOMONTH($C17,$C18),SUM($E26:EL26),0)</f>
        <v>0</v>
      </c>
      <c r="EM27" s="26">
        <f>IF(EM$2=EOMONTH($C17,$C18),SUM($E26:EM26),0)</f>
        <v>0</v>
      </c>
      <c r="EN27" s="26">
        <f>IF(EN$2=EOMONTH($C17,$C18),SUM($E26:EN26),0)</f>
        <v>0</v>
      </c>
      <c r="EO27" s="26">
        <f>IF(EO$2=EOMONTH($C17,$C18),SUM($E26:EO26),0)</f>
        <v>0</v>
      </c>
      <c r="EP27" s="26">
        <f>IF(EP$2=EOMONTH($C17,$C18),SUM($E26:EP26),0)</f>
        <v>0</v>
      </c>
      <c r="EQ27" s="26">
        <f>IF(EQ$2=EOMONTH($C17,$C18),SUM($E26:EQ26),0)</f>
        <v>0</v>
      </c>
      <c r="ER27" s="26">
        <f>IF(ER$2=EOMONTH($C17,$C18),SUM($E26:ER26),0)</f>
        <v>0</v>
      </c>
      <c r="ES27" s="26">
        <f>IF(ES$2=EOMONTH($C17,$C18),SUM($E26:ES26),0)</f>
        <v>0</v>
      </c>
      <c r="ET27" s="26">
        <f>IF(ET$2=EOMONTH($C17,$C18),SUM($E26:ET26),0)</f>
        <v>0</v>
      </c>
      <c r="EU27" s="26">
        <f>IF(EU$2=EOMONTH($C17,$C18),SUM($E26:EU26),0)</f>
        <v>0</v>
      </c>
      <c r="EV27" s="26">
        <f>IF(EV$2=EOMONTH($C17,$C18),SUM($E26:EV26),0)</f>
        <v>0</v>
      </c>
      <c r="EW27" s="26">
        <f>IF(EW$2=EOMONTH($C17,$C18),SUM($E26:EW26),0)</f>
        <v>0</v>
      </c>
      <c r="EX27" s="26">
        <f>IF(EX$2=EOMONTH($C17,$C18),SUM($E26:EX26),0)</f>
        <v>0</v>
      </c>
      <c r="EY27" s="26">
        <f>IF(EY$2=EOMONTH($C17,$C18),SUM($E26:EY26),0)</f>
        <v>0</v>
      </c>
      <c r="EZ27" s="26">
        <f>IF(EZ$2=EOMONTH($C17,$C18),SUM($E26:EZ26),0)</f>
        <v>0</v>
      </c>
      <c r="FA27" s="26">
        <f>IF(FA$2=EOMONTH($C17,$C18),SUM($E26:FA26),0)</f>
        <v>0</v>
      </c>
      <c r="FB27" s="26">
        <f>IF(FB$2=EOMONTH($C17,$C18),SUM($E26:FB26),0)</f>
        <v>0</v>
      </c>
      <c r="FC27" s="26">
        <f>IF(FC$2=EOMONTH($C17,$C18),SUM($E26:FC26),0)</f>
        <v>0</v>
      </c>
      <c r="FD27" s="26">
        <f>IF(FD$2=EOMONTH($C17,$C18),SUM($E26:FD26),0)</f>
        <v>0</v>
      </c>
      <c r="FE27" s="26">
        <f>IF(FE$2=EOMONTH($C17,$C18),SUM($E26:FE26),0)</f>
        <v>0</v>
      </c>
      <c r="FF27" s="26">
        <f>IF(FF$2=EOMONTH($C17,$C18),SUM($E26:FF26),0)</f>
        <v>0</v>
      </c>
      <c r="FG27" s="26">
        <f>IF(FG$2=EOMONTH($C17,$C18),SUM($E26:FG26),0)</f>
        <v>0</v>
      </c>
      <c r="FH27" s="26">
        <f>IF(FH$2=EOMONTH($C17,$C18),SUM($E26:FH26),0)</f>
        <v>0</v>
      </c>
      <c r="FI27" s="26">
        <f>IF(FI$2=EOMONTH($C17,$C18),SUM($E26:FI26),0)</f>
        <v>0</v>
      </c>
      <c r="FJ27" s="26">
        <f>IF(FJ$2=EOMONTH($C17,$C18),SUM($E26:FJ26),0)</f>
        <v>0</v>
      </c>
      <c r="FK27" s="26">
        <f>IF(FK$2=EOMONTH($C17,$C18),SUM($E26:FK26),0)</f>
        <v>0</v>
      </c>
    </row>
    <row r="28" spans="2:167" outlineLevel="1" x14ac:dyDescent="0.35">
      <c r="B28" s="28" t="s">
        <v>87</v>
      </c>
      <c r="E28" s="26">
        <f t="shared" ref="E28:AJ28" si="47">IF(E$2=EOMONTH($C17,$C18),$C23,0)</f>
        <v>0</v>
      </c>
      <c r="F28" s="26">
        <f t="shared" si="47"/>
        <v>0</v>
      </c>
      <c r="G28" s="26">
        <f t="shared" si="47"/>
        <v>0</v>
      </c>
      <c r="H28" s="26">
        <f t="shared" si="47"/>
        <v>0</v>
      </c>
      <c r="I28" s="26">
        <f t="shared" si="47"/>
        <v>0</v>
      </c>
      <c r="J28" s="26">
        <f t="shared" si="47"/>
        <v>0</v>
      </c>
      <c r="K28" s="26">
        <f t="shared" si="47"/>
        <v>0</v>
      </c>
      <c r="L28" s="26">
        <f t="shared" si="47"/>
        <v>0</v>
      </c>
      <c r="M28" s="26">
        <f t="shared" si="47"/>
        <v>0</v>
      </c>
      <c r="N28" s="26">
        <f t="shared" si="47"/>
        <v>0</v>
      </c>
      <c r="O28" s="26">
        <f t="shared" si="47"/>
        <v>0</v>
      </c>
      <c r="P28" s="26">
        <f t="shared" si="47"/>
        <v>0</v>
      </c>
      <c r="Q28" s="26">
        <f t="shared" si="47"/>
        <v>0</v>
      </c>
      <c r="R28" s="26">
        <f t="shared" si="47"/>
        <v>0</v>
      </c>
      <c r="S28" s="26">
        <f t="shared" si="47"/>
        <v>0</v>
      </c>
      <c r="T28" s="26">
        <f t="shared" si="47"/>
        <v>0</v>
      </c>
      <c r="U28" s="26">
        <f t="shared" si="47"/>
        <v>0</v>
      </c>
      <c r="V28" s="26">
        <f t="shared" si="47"/>
        <v>0</v>
      </c>
      <c r="W28" s="26">
        <f t="shared" si="47"/>
        <v>0</v>
      </c>
      <c r="X28" s="26">
        <f t="shared" si="47"/>
        <v>0</v>
      </c>
      <c r="Y28" s="26">
        <f t="shared" si="47"/>
        <v>0</v>
      </c>
      <c r="Z28" s="26">
        <f t="shared" si="47"/>
        <v>0</v>
      </c>
      <c r="AA28" s="26">
        <f t="shared" si="47"/>
        <v>0</v>
      </c>
      <c r="AB28" s="26">
        <f t="shared" si="47"/>
        <v>0</v>
      </c>
      <c r="AC28" s="26">
        <f t="shared" si="47"/>
        <v>0</v>
      </c>
      <c r="AD28" s="26">
        <f t="shared" si="47"/>
        <v>0</v>
      </c>
      <c r="AE28" s="26">
        <f t="shared" si="47"/>
        <v>0</v>
      </c>
      <c r="AF28" s="26">
        <f t="shared" si="47"/>
        <v>0</v>
      </c>
      <c r="AG28" s="26">
        <f t="shared" si="47"/>
        <v>0</v>
      </c>
      <c r="AH28" s="26">
        <f t="shared" si="47"/>
        <v>0</v>
      </c>
      <c r="AI28" s="26">
        <f t="shared" si="47"/>
        <v>0</v>
      </c>
      <c r="AJ28" s="26">
        <f t="shared" si="47"/>
        <v>0</v>
      </c>
      <c r="AK28" s="26">
        <f t="shared" ref="AK28:BP28" si="48">IF(AK$2=EOMONTH($C17,$C18),$C23,0)</f>
        <v>0</v>
      </c>
      <c r="AL28" s="26">
        <f t="shared" si="48"/>
        <v>0</v>
      </c>
      <c r="AM28" s="26">
        <f t="shared" si="48"/>
        <v>0</v>
      </c>
      <c r="AN28" s="26">
        <f t="shared" si="48"/>
        <v>0</v>
      </c>
      <c r="AO28" s="26">
        <f t="shared" si="48"/>
        <v>0</v>
      </c>
      <c r="AP28" s="26">
        <f t="shared" si="48"/>
        <v>0</v>
      </c>
      <c r="AQ28" s="26">
        <f t="shared" si="48"/>
        <v>0</v>
      </c>
      <c r="AR28" s="26">
        <f t="shared" si="48"/>
        <v>0</v>
      </c>
      <c r="AS28" s="26">
        <f t="shared" si="48"/>
        <v>0</v>
      </c>
      <c r="AT28" s="26">
        <f t="shared" si="48"/>
        <v>0</v>
      </c>
      <c r="AU28" s="26">
        <f t="shared" si="48"/>
        <v>0</v>
      </c>
      <c r="AV28" s="26">
        <f t="shared" si="48"/>
        <v>0</v>
      </c>
      <c r="AW28" s="26">
        <f t="shared" si="48"/>
        <v>0</v>
      </c>
      <c r="AX28" s="26">
        <f t="shared" si="48"/>
        <v>0</v>
      </c>
      <c r="AY28" s="26">
        <f t="shared" si="48"/>
        <v>0</v>
      </c>
      <c r="AZ28" s="26">
        <f t="shared" si="48"/>
        <v>0</v>
      </c>
      <c r="BA28" s="26">
        <f t="shared" si="48"/>
        <v>0</v>
      </c>
      <c r="BB28" s="26">
        <f t="shared" si="48"/>
        <v>0</v>
      </c>
      <c r="BC28" s="26">
        <f t="shared" si="48"/>
        <v>0</v>
      </c>
      <c r="BD28" s="26">
        <f t="shared" si="48"/>
        <v>0</v>
      </c>
      <c r="BE28" s="26">
        <f t="shared" si="48"/>
        <v>0</v>
      </c>
      <c r="BF28" s="26">
        <f t="shared" si="48"/>
        <v>0</v>
      </c>
      <c r="BG28" s="26">
        <f t="shared" si="48"/>
        <v>0</v>
      </c>
      <c r="BH28" s="26">
        <f t="shared" si="48"/>
        <v>0</v>
      </c>
      <c r="BI28" s="26">
        <f t="shared" si="48"/>
        <v>0</v>
      </c>
      <c r="BJ28" s="26">
        <f t="shared" si="48"/>
        <v>0</v>
      </c>
      <c r="BK28" s="26">
        <f t="shared" si="48"/>
        <v>0</v>
      </c>
      <c r="BL28" s="26">
        <f t="shared" si="48"/>
        <v>0</v>
      </c>
      <c r="BM28" s="26">
        <f t="shared" si="48"/>
        <v>0</v>
      </c>
      <c r="BN28" s="26">
        <f t="shared" si="48"/>
        <v>0</v>
      </c>
      <c r="BO28" s="26">
        <f t="shared" si="48"/>
        <v>0</v>
      </c>
      <c r="BP28" s="26">
        <f t="shared" si="48"/>
        <v>0</v>
      </c>
      <c r="BQ28" s="26">
        <f t="shared" ref="BQ28:CV28" si="49">IF(BQ$2=EOMONTH($C17,$C18),$C23,0)</f>
        <v>0</v>
      </c>
      <c r="BR28" s="26">
        <f t="shared" si="49"/>
        <v>0</v>
      </c>
      <c r="BS28" s="26">
        <f t="shared" si="49"/>
        <v>0</v>
      </c>
      <c r="BT28" s="26">
        <f t="shared" si="49"/>
        <v>0</v>
      </c>
      <c r="BU28" s="26">
        <f t="shared" si="49"/>
        <v>0</v>
      </c>
      <c r="BV28" s="26">
        <f t="shared" si="49"/>
        <v>0</v>
      </c>
      <c r="BW28" s="26">
        <f t="shared" si="49"/>
        <v>0</v>
      </c>
      <c r="BX28" s="26">
        <f t="shared" si="49"/>
        <v>0</v>
      </c>
      <c r="BY28" s="26">
        <f t="shared" si="49"/>
        <v>0</v>
      </c>
      <c r="BZ28" s="26">
        <f t="shared" si="49"/>
        <v>0</v>
      </c>
      <c r="CA28" s="26">
        <f t="shared" si="49"/>
        <v>0</v>
      </c>
      <c r="CB28" s="26">
        <f t="shared" si="49"/>
        <v>0</v>
      </c>
      <c r="CC28" s="26">
        <f t="shared" si="49"/>
        <v>0</v>
      </c>
      <c r="CD28" s="26">
        <f t="shared" si="49"/>
        <v>0</v>
      </c>
      <c r="CE28" s="26">
        <f t="shared" si="49"/>
        <v>0</v>
      </c>
      <c r="CF28" s="26">
        <f t="shared" si="49"/>
        <v>0</v>
      </c>
      <c r="CG28" s="26">
        <f t="shared" si="49"/>
        <v>0</v>
      </c>
      <c r="CH28" s="26">
        <f t="shared" si="49"/>
        <v>0</v>
      </c>
      <c r="CI28" s="26">
        <f t="shared" si="49"/>
        <v>0</v>
      </c>
      <c r="CJ28" s="26">
        <f t="shared" si="49"/>
        <v>0</v>
      </c>
      <c r="CK28" s="26">
        <f t="shared" si="49"/>
        <v>0</v>
      </c>
      <c r="CL28" s="26">
        <f t="shared" si="49"/>
        <v>0</v>
      </c>
      <c r="CM28" s="26">
        <f t="shared" si="49"/>
        <v>0</v>
      </c>
      <c r="CN28" s="26">
        <f t="shared" si="49"/>
        <v>0</v>
      </c>
      <c r="CO28" s="26">
        <f t="shared" si="49"/>
        <v>0</v>
      </c>
      <c r="CP28" s="26">
        <f t="shared" si="49"/>
        <v>0</v>
      </c>
      <c r="CQ28" s="26">
        <f t="shared" si="49"/>
        <v>0</v>
      </c>
      <c r="CR28" s="26">
        <f t="shared" si="49"/>
        <v>0</v>
      </c>
      <c r="CS28" s="26">
        <f t="shared" si="49"/>
        <v>0</v>
      </c>
      <c r="CT28" s="26">
        <f t="shared" si="49"/>
        <v>0</v>
      </c>
      <c r="CU28" s="26">
        <f t="shared" si="49"/>
        <v>0</v>
      </c>
      <c r="CV28" s="26">
        <f t="shared" si="49"/>
        <v>0</v>
      </c>
      <c r="CW28" s="26">
        <f t="shared" ref="CW28:EB28" si="50">IF(CW$2=EOMONTH($C17,$C18),$C23,0)</f>
        <v>0</v>
      </c>
      <c r="CX28" s="26">
        <f t="shared" si="50"/>
        <v>0</v>
      </c>
      <c r="CY28" s="26">
        <f t="shared" si="50"/>
        <v>0</v>
      </c>
      <c r="CZ28" s="26">
        <f t="shared" si="50"/>
        <v>0</v>
      </c>
      <c r="DA28" s="26">
        <f t="shared" si="50"/>
        <v>0</v>
      </c>
      <c r="DB28" s="26">
        <f t="shared" si="50"/>
        <v>0</v>
      </c>
      <c r="DC28" s="26">
        <f t="shared" si="50"/>
        <v>0</v>
      </c>
      <c r="DD28" s="26">
        <f t="shared" si="50"/>
        <v>0</v>
      </c>
      <c r="DE28" s="26">
        <f t="shared" si="50"/>
        <v>0</v>
      </c>
      <c r="DF28" s="26">
        <f t="shared" si="50"/>
        <v>0</v>
      </c>
      <c r="DG28" s="26">
        <f t="shared" si="50"/>
        <v>0</v>
      </c>
      <c r="DH28" s="26">
        <f t="shared" si="50"/>
        <v>0</v>
      </c>
      <c r="DI28" s="26">
        <f t="shared" si="50"/>
        <v>0</v>
      </c>
      <c r="DJ28" s="26">
        <f t="shared" si="50"/>
        <v>0</v>
      </c>
      <c r="DK28" s="26">
        <f t="shared" si="50"/>
        <v>0</v>
      </c>
      <c r="DL28" s="26">
        <f t="shared" si="50"/>
        <v>0</v>
      </c>
      <c r="DM28" s="26">
        <f t="shared" si="50"/>
        <v>0</v>
      </c>
      <c r="DN28" s="26">
        <f t="shared" si="50"/>
        <v>0</v>
      </c>
      <c r="DO28" s="26">
        <f t="shared" si="50"/>
        <v>0</v>
      </c>
      <c r="DP28" s="26">
        <f t="shared" si="50"/>
        <v>0</v>
      </c>
      <c r="DQ28" s="26">
        <f t="shared" si="50"/>
        <v>0</v>
      </c>
      <c r="DR28" s="26">
        <f t="shared" si="50"/>
        <v>0</v>
      </c>
      <c r="DS28" s="26">
        <f t="shared" si="50"/>
        <v>0</v>
      </c>
      <c r="DT28" s="26">
        <f t="shared" si="50"/>
        <v>0</v>
      </c>
      <c r="DU28" s="26">
        <f t="shared" si="50"/>
        <v>0</v>
      </c>
      <c r="DV28" s="26">
        <f t="shared" si="50"/>
        <v>0</v>
      </c>
      <c r="DW28" s="26">
        <f t="shared" si="50"/>
        <v>0</v>
      </c>
      <c r="DX28" s="26">
        <f t="shared" si="50"/>
        <v>0</v>
      </c>
      <c r="DY28" s="26">
        <f t="shared" si="50"/>
        <v>0</v>
      </c>
      <c r="DZ28" s="26">
        <f t="shared" si="50"/>
        <v>0</v>
      </c>
      <c r="EA28" s="26">
        <f t="shared" si="50"/>
        <v>0</v>
      </c>
      <c r="EB28" s="26">
        <f t="shared" si="50"/>
        <v>0</v>
      </c>
      <c r="EC28" s="26">
        <f t="shared" ref="EC28:FK28" si="51">IF(EC$2=EOMONTH($C17,$C18),$C23,0)</f>
        <v>0</v>
      </c>
      <c r="ED28" s="26">
        <f t="shared" si="51"/>
        <v>0</v>
      </c>
      <c r="EE28" s="26">
        <f t="shared" si="51"/>
        <v>0</v>
      </c>
      <c r="EF28" s="26">
        <f t="shared" si="51"/>
        <v>0</v>
      </c>
      <c r="EG28" s="26">
        <f t="shared" si="51"/>
        <v>0</v>
      </c>
      <c r="EH28" s="26">
        <f t="shared" si="51"/>
        <v>0</v>
      </c>
      <c r="EI28" s="26">
        <f t="shared" si="51"/>
        <v>0</v>
      </c>
      <c r="EJ28" s="26">
        <f t="shared" si="51"/>
        <v>0</v>
      </c>
      <c r="EK28" s="26">
        <f t="shared" si="51"/>
        <v>0</v>
      </c>
      <c r="EL28" s="26">
        <f t="shared" si="51"/>
        <v>0</v>
      </c>
      <c r="EM28" s="26">
        <f t="shared" si="51"/>
        <v>0</v>
      </c>
      <c r="EN28" s="26">
        <f t="shared" si="51"/>
        <v>0</v>
      </c>
      <c r="EO28" s="26">
        <f t="shared" si="51"/>
        <v>0</v>
      </c>
      <c r="EP28" s="26">
        <f t="shared" si="51"/>
        <v>0</v>
      </c>
      <c r="EQ28" s="26">
        <f t="shared" si="51"/>
        <v>0</v>
      </c>
      <c r="ER28" s="26">
        <f t="shared" si="51"/>
        <v>0</v>
      </c>
      <c r="ES28" s="26">
        <f t="shared" si="51"/>
        <v>0</v>
      </c>
      <c r="ET28" s="26">
        <f t="shared" si="51"/>
        <v>0</v>
      </c>
      <c r="EU28" s="26">
        <f t="shared" si="51"/>
        <v>0</v>
      </c>
      <c r="EV28" s="26">
        <f t="shared" si="51"/>
        <v>0</v>
      </c>
      <c r="EW28" s="26">
        <f t="shared" si="51"/>
        <v>0</v>
      </c>
      <c r="EX28" s="26">
        <f t="shared" si="51"/>
        <v>0</v>
      </c>
      <c r="EY28" s="26">
        <f t="shared" si="51"/>
        <v>0</v>
      </c>
      <c r="EZ28" s="26">
        <f t="shared" si="51"/>
        <v>0</v>
      </c>
      <c r="FA28" s="26">
        <f t="shared" si="51"/>
        <v>0</v>
      </c>
      <c r="FB28" s="26">
        <f t="shared" si="51"/>
        <v>0</v>
      </c>
      <c r="FC28" s="26">
        <f t="shared" si="51"/>
        <v>0</v>
      </c>
      <c r="FD28" s="26">
        <f t="shared" si="51"/>
        <v>0</v>
      </c>
      <c r="FE28" s="26">
        <f t="shared" si="51"/>
        <v>0</v>
      </c>
      <c r="FF28" s="26">
        <f t="shared" si="51"/>
        <v>0</v>
      </c>
      <c r="FG28" s="26">
        <f t="shared" si="51"/>
        <v>0</v>
      </c>
      <c r="FH28" s="26">
        <f t="shared" si="51"/>
        <v>0</v>
      </c>
      <c r="FI28" s="26">
        <f t="shared" si="51"/>
        <v>0</v>
      </c>
      <c r="FJ28" s="26">
        <f t="shared" si="51"/>
        <v>0</v>
      </c>
      <c r="FK28" s="26">
        <f t="shared" si="51"/>
        <v>0</v>
      </c>
    </row>
    <row r="29" spans="2:167" outlineLevel="1" x14ac:dyDescent="0.35">
      <c r="B29" s="28" t="s">
        <v>88</v>
      </c>
      <c r="E29" s="26">
        <f t="shared" ref="E29:AJ29" si="52">SUM(E27:E28)</f>
        <v>0</v>
      </c>
      <c r="F29" s="26">
        <f t="shared" si="52"/>
        <v>0</v>
      </c>
      <c r="G29" s="26">
        <f t="shared" si="52"/>
        <v>0</v>
      </c>
      <c r="H29" s="26">
        <f t="shared" si="52"/>
        <v>0</v>
      </c>
      <c r="I29" s="26">
        <f t="shared" si="52"/>
        <v>0</v>
      </c>
      <c r="J29" s="26">
        <f t="shared" si="52"/>
        <v>0</v>
      </c>
      <c r="K29" s="26">
        <f t="shared" si="52"/>
        <v>0</v>
      </c>
      <c r="L29" s="26">
        <f t="shared" si="52"/>
        <v>0</v>
      </c>
      <c r="M29" s="26">
        <f t="shared" si="52"/>
        <v>0</v>
      </c>
      <c r="N29" s="26">
        <f t="shared" si="52"/>
        <v>0</v>
      </c>
      <c r="O29" s="26">
        <f t="shared" si="52"/>
        <v>0</v>
      </c>
      <c r="P29" s="26">
        <f t="shared" si="52"/>
        <v>0</v>
      </c>
      <c r="Q29" s="26">
        <f t="shared" si="52"/>
        <v>0</v>
      </c>
      <c r="R29" s="26">
        <f t="shared" si="52"/>
        <v>0</v>
      </c>
      <c r="S29" s="26">
        <f t="shared" si="52"/>
        <v>0</v>
      </c>
      <c r="T29" s="26">
        <f t="shared" si="52"/>
        <v>0</v>
      </c>
      <c r="U29" s="26">
        <f t="shared" si="52"/>
        <v>0</v>
      </c>
      <c r="V29" s="26">
        <f t="shared" si="52"/>
        <v>0</v>
      </c>
      <c r="W29" s="26">
        <f t="shared" si="52"/>
        <v>0</v>
      </c>
      <c r="X29" s="26">
        <f t="shared" si="52"/>
        <v>0</v>
      </c>
      <c r="Y29" s="26">
        <f t="shared" si="52"/>
        <v>0</v>
      </c>
      <c r="Z29" s="26">
        <f t="shared" si="52"/>
        <v>0</v>
      </c>
      <c r="AA29" s="26">
        <f t="shared" si="52"/>
        <v>0</v>
      </c>
      <c r="AB29" s="26">
        <f t="shared" si="52"/>
        <v>0</v>
      </c>
      <c r="AC29" s="26">
        <f t="shared" si="52"/>
        <v>0</v>
      </c>
      <c r="AD29" s="26">
        <f t="shared" si="52"/>
        <v>0</v>
      </c>
      <c r="AE29" s="26">
        <f t="shared" si="52"/>
        <v>0</v>
      </c>
      <c r="AF29" s="26">
        <f t="shared" si="52"/>
        <v>0</v>
      </c>
      <c r="AG29" s="26">
        <f t="shared" si="52"/>
        <v>0</v>
      </c>
      <c r="AH29" s="26">
        <f t="shared" si="52"/>
        <v>0</v>
      </c>
      <c r="AI29" s="26">
        <f t="shared" si="52"/>
        <v>0</v>
      </c>
      <c r="AJ29" s="26">
        <f t="shared" si="52"/>
        <v>0</v>
      </c>
      <c r="AK29" s="26">
        <f t="shared" ref="AK29:BP29" si="53">SUM(AK27:AK28)</f>
        <v>0</v>
      </c>
      <c r="AL29" s="26">
        <f t="shared" si="53"/>
        <v>0</v>
      </c>
      <c r="AM29" s="26">
        <f t="shared" si="53"/>
        <v>0</v>
      </c>
      <c r="AN29" s="26">
        <f t="shared" si="53"/>
        <v>0</v>
      </c>
      <c r="AO29" s="26">
        <f t="shared" si="53"/>
        <v>0</v>
      </c>
      <c r="AP29" s="26">
        <f t="shared" si="53"/>
        <v>0</v>
      </c>
      <c r="AQ29" s="26">
        <f t="shared" si="53"/>
        <v>0</v>
      </c>
      <c r="AR29" s="26">
        <f t="shared" si="53"/>
        <v>0</v>
      </c>
      <c r="AS29" s="26">
        <f t="shared" si="53"/>
        <v>0</v>
      </c>
      <c r="AT29" s="26">
        <f t="shared" si="53"/>
        <v>0</v>
      </c>
      <c r="AU29" s="26">
        <f t="shared" si="53"/>
        <v>0</v>
      </c>
      <c r="AV29" s="26">
        <f t="shared" si="53"/>
        <v>0</v>
      </c>
      <c r="AW29" s="26">
        <f t="shared" si="53"/>
        <v>0</v>
      </c>
      <c r="AX29" s="26">
        <f t="shared" si="53"/>
        <v>0</v>
      </c>
      <c r="AY29" s="26">
        <f t="shared" si="53"/>
        <v>0</v>
      </c>
      <c r="AZ29" s="26">
        <f t="shared" si="53"/>
        <v>0</v>
      </c>
      <c r="BA29" s="26">
        <f t="shared" si="53"/>
        <v>0</v>
      </c>
      <c r="BB29" s="26">
        <f t="shared" si="53"/>
        <v>0</v>
      </c>
      <c r="BC29" s="26">
        <f t="shared" si="53"/>
        <v>0</v>
      </c>
      <c r="BD29" s="26">
        <f t="shared" si="53"/>
        <v>0</v>
      </c>
      <c r="BE29" s="26">
        <f t="shared" si="53"/>
        <v>0</v>
      </c>
      <c r="BF29" s="26">
        <f t="shared" si="53"/>
        <v>0</v>
      </c>
      <c r="BG29" s="26">
        <f t="shared" si="53"/>
        <v>0</v>
      </c>
      <c r="BH29" s="26">
        <f t="shared" si="53"/>
        <v>0</v>
      </c>
      <c r="BI29" s="26">
        <f t="shared" si="53"/>
        <v>0</v>
      </c>
      <c r="BJ29" s="26">
        <f t="shared" si="53"/>
        <v>0</v>
      </c>
      <c r="BK29" s="26">
        <f t="shared" si="53"/>
        <v>0</v>
      </c>
      <c r="BL29" s="26">
        <f t="shared" si="53"/>
        <v>0</v>
      </c>
      <c r="BM29" s="26">
        <f t="shared" si="53"/>
        <v>0</v>
      </c>
      <c r="BN29" s="26">
        <f t="shared" si="53"/>
        <v>0</v>
      </c>
      <c r="BO29" s="26">
        <f t="shared" si="53"/>
        <v>0</v>
      </c>
      <c r="BP29" s="26">
        <f t="shared" si="53"/>
        <v>0</v>
      </c>
      <c r="BQ29" s="26">
        <f t="shared" ref="BQ29:CV29" si="54">SUM(BQ27:BQ28)</f>
        <v>0</v>
      </c>
      <c r="BR29" s="26">
        <f t="shared" si="54"/>
        <v>0</v>
      </c>
      <c r="BS29" s="26">
        <f t="shared" si="54"/>
        <v>0</v>
      </c>
      <c r="BT29" s="26">
        <f t="shared" si="54"/>
        <v>0</v>
      </c>
      <c r="BU29" s="26">
        <f t="shared" si="54"/>
        <v>0</v>
      </c>
      <c r="BV29" s="26">
        <f t="shared" si="54"/>
        <v>0</v>
      </c>
      <c r="BW29" s="26">
        <f t="shared" si="54"/>
        <v>0</v>
      </c>
      <c r="BX29" s="26">
        <f t="shared" si="54"/>
        <v>0</v>
      </c>
      <c r="BY29" s="26">
        <f t="shared" si="54"/>
        <v>0</v>
      </c>
      <c r="BZ29" s="26">
        <f t="shared" si="54"/>
        <v>0</v>
      </c>
      <c r="CA29" s="26">
        <f t="shared" si="54"/>
        <v>0</v>
      </c>
      <c r="CB29" s="26">
        <f t="shared" si="54"/>
        <v>0</v>
      </c>
      <c r="CC29" s="26">
        <f t="shared" si="54"/>
        <v>0</v>
      </c>
      <c r="CD29" s="26">
        <f t="shared" si="54"/>
        <v>0</v>
      </c>
      <c r="CE29" s="26">
        <f t="shared" si="54"/>
        <v>0</v>
      </c>
      <c r="CF29" s="26">
        <f t="shared" si="54"/>
        <v>0</v>
      </c>
      <c r="CG29" s="26">
        <f t="shared" si="54"/>
        <v>0</v>
      </c>
      <c r="CH29" s="26">
        <f t="shared" si="54"/>
        <v>0</v>
      </c>
      <c r="CI29" s="26">
        <f t="shared" si="54"/>
        <v>0</v>
      </c>
      <c r="CJ29" s="26">
        <f t="shared" si="54"/>
        <v>0</v>
      </c>
      <c r="CK29" s="26">
        <f t="shared" si="54"/>
        <v>0</v>
      </c>
      <c r="CL29" s="26">
        <f t="shared" si="54"/>
        <v>0</v>
      </c>
      <c r="CM29" s="26">
        <f t="shared" si="54"/>
        <v>0</v>
      </c>
      <c r="CN29" s="26">
        <f t="shared" si="54"/>
        <v>0</v>
      </c>
      <c r="CO29" s="26">
        <f t="shared" si="54"/>
        <v>0</v>
      </c>
      <c r="CP29" s="26">
        <f t="shared" si="54"/>
        <v>0</v>
      </c>
      <c r="CQ29" s="26">
        <f t="shared" si="54"/>
        <v>0</v>
      </c>
      <c r="CR29" s="26">
        <f t="shared" si="54"/>
        <v>0</v>
      </c>
      <c r="CS29" s="26">
        <f t="shared" si="54"/>
        <v>0</v>
      </c>
      <c r="CT29" s="26">
        <f t="shared" si="54"/>
        <v>0</v>
      </c>
      <c r="CU29" s="26">
        <f t="shared" si="54"/>
        <v>0</v>
      </c>
      <c r="CV29" s="26">
        <f t="shared" si="54"/>
        <v>0</v>
      </c>
      <c r="CW29" s="26">
        <f t="shared" ref="CW29:EB29" si="55">SUM(CW27:CW28)</f>
        <v>0</v>
      </c>
      <c r="CX29" s="26">
        <f t="shared" si="55"/>
        <v>0</v>
      </c>
      <c r="CY29" s="26">
        <f t="shared" si="55"/>
        <v>0</v>
      </c>
      <c r="CZ29" s="26">
        <f t="shared" si="55"/>
        <v>0</v>
      </c>
      <c r="DA29" s="26">
        <f t="shared" si="55"/>
        <v>0</v>
      </c>
      <c r="DB29" s="26">
        <f t="shared" si="55"/>
        <v>0</v>
      </c>
      <c r="DC29" s="26">
        <f t="shared" si="55"/>
        <v>0</v>
      </c>
      <c r="DD29" s="26">
        <f t="shared" si="55"/>
        <v>0</v>
      </c>
      <c r="DE29" s="26">
        <f t="shared" si="55"/>
        <v>0</v>
      </c>
      <c r="DF29" s="26">
        <f t="shared" si="55"/>
        <v>0</v>
      </c>
      <c r="DG29" s="26">
        <f t="shared" si="55"/>
        <v>0</v>
      </c>
      <c r="DH29" s="26">
        <f t="shared" si="55"/>
        <v>0</v>
      </c>
      <c r="DI29" s="26">
        <f t="shared" si="55"/>
        <v>0</v>
      </c>
      <c r="DJ29" s="26">
        <f t="shared" si="55"/>
        <v>0</v>
      </c>
      <c r="DK29" s="26">
        <f t="shared" si="55"/>
        <v>0</v>
      </c>
      <c r="DL29" s="26">
        <f t="shared" si="55"/>
        <v>0</v>
      </c>
      <c r="DM29" s="26">
        <f t="shared" si="55"/>
        <v>0</v>
      </c>
      <c r="DN29" s="26">
        <f t="shared" si="55"/>
        <v>0</v>
      </c>
      <c r="DO29" s="26">
        <f t="shared" si="55"/>
        <v>0</v>
      </c>
      <c r="DP29" s="26">
        <f t="shared" si="55"/>
        <v>0</v>
      </c>
      <c r="DQ29" s="26">
        <f t="shared" si="55"/>
        <v>0</v>
      </c>
      <c r="DR29" s="26">
        <f t="shared" si="55"/>
        <v>0</v>
      </c>
      <c r="DS29" s="26">
        <f t="shared" si="55"/>
        <v>0</v>
      </c>
      <c r="DT29" s="26">
        <f t="shared" si="55"/>
        <v>0</v>
      </c>
      <c r="DU29" s="26">
        <f t="shared" si="55"/>
        <v>0</v>
      </c>
      <c r="DV29" s="26">
        <f t="shared" si="55"/>
        <v>0</v>
      </c>
      <c r="DW29" s="26">
        <f t="shared" si="55"/>
        <v>0</v>
      </c>
      <c r="DX29" s="26">
        <f t="shared" si="55"/>
        <v>0</v>
      </c>
      <c r="DY29" s="26">
        <f t="shared" si="55"/>
        <v>0</v>
      </c>
      <c r="DZ29" s="26">
        <f t="shared" si="55"/>
        <v>0</v>
      </c>
      <c r="EA29" s="26">
        <f t="shared" si="55"/>
        <v>0</v>
      </c>
      <c r="EB29" s="26">
        <f t="shared" si="55"/>
        <v>0</v>
      </c>
      <c r="EC29" s="26">
        <f t="shared" ref="EC29:FH29" si="56">SUM(EC27:EC28)</f>
        <v>0</v>
      </c>
      <c r="ED29" s="26">
        <f t="shared" si="56"/>
        <v>0</v>
      </c>
      <c r="EE29" s="26">
        <f t="shared" si="56"/>
        <v>0</v>
      </c>
      <c r="EF29" s="26">
        <f t="shared" si="56"/>
        <v>0</v>
      </c>
      <c r="EG29" s="26">
        <f t="shared" si="56"/>
        <v>0</v>
      </c>
      <c r="EH29" s="26">
        <f t="shared" si="56"/>
        <v>0</v>
      </c>
      <c r="EI29" s="26">
        <f t="shared" si="56"/>
        <v>0</v>
      </c>
      <c r="EJ29" s="26">
        <f t="shared" si="56"/>
        <v>0</v>
      </c>
      <c r="EK29" s="26">
        <f t="shared" si="56"/>
        <v>0</v>
      </c>
      <c r="EL29" s="26">
        <f t="shared" si="56"/>
        <v>0</v>
      </c>
      <c r="EM29" s="26">
        <f t="shared" si="56"/>
        <v>0</v>
      </c>
      <c r="EN29" s="26">
        <f t="shared" si="56"/>
        <v>0</v>
      </c>
      <c r="EO29" s="26">
        <f t="shared" si="56"/>
        <v>0</v>
      </c>
      <c r="EP29" s="26">
        <f t="shared" si="56"/>
        <v>0</v>
      </c>
      <c r="EQ29" s="26">
        <f t="shared" si="56"/>
        <v>0</v>
      </c>
      <c r="ER29" s="26">
        <f t="shared" si="56"/>
        <v>0</v>
      </c>
      <c r="ES29" s="26">
        <f t="shared" si="56"/>
        <v>0</v>
      </c>
      <c r="ET29" s="26">
        <f t="shared" si="56"/>
        <v>0</v>
      </c>
      <c r="EU29" s="26">
        <f t="shared" si="56"/>
        <v>0</v>
      </c>
      <c r="EV29" s="26">
        <f t="shared" si="56"/>
        <v>0</v>
      </c>
      <c r="EW29" s="26">
        <f t="shared" si="56"/>
        <v>0</v>
      </c>
      <c r="EX29" s="26">
        <f t="shared" si="56"/>
        <v>0</v>
      </c>
      <c r="EY29" s="26">
        <f t="shared" si="56"/>
        <v>0</v>
      </c>
      <c r="EZ29" s="26">
        <f t="shared" si="56"/>
        <v>0</v>
      </c>
      <c r="FA29" s="26">
        <f t="shared" si="56"/>
        <v>0</v>
      </c>
      <c r="FB29" s="26">
        <f t="shared" si="56"/>
        <v>0</v>
      </c>
      <c r="FC29" s="26">
        <f t="shared" si="56"/>
        <v>0</v>
      </c>
      <c r="FD29" s="26">
        <f t="shared" si="56"/>
        <v>0</v>
      </c>
      <c r="FE29" s="26">
        <f t="shared" si="56"/>
        <v>0</v>
      </c>
      <c r="FF29" s="26">
        <f t="shared" si="56"/>
        <v>0</v>
      </c>
      <c r="FG29" s="26">
        <f t="shared" si="56"/>
        <v>0</v>
      </c>
      <c r="FH29" s="26">
        <f t="shared" si="56"/>
        <v>0</v>
      </c>
      <c r="FI29" s="26">
        <f t="shared" ref="FI29:FK29" si="57">SUM(FI27:FI28)</f>
        <v>0</v>
      </c>
      <c r="FJ29" s="26">
        <f t="shared" si="57"/>
        <v>0</v>
      </c>
      <c r="FK29" s="26">
        <f t="shared" si="57"/>
        <v>0</v>
      </c>
    </row>
    <row r="30" spans="2:167" outlineLevel="1" x14ac:dyDescent="0.35">
      <c r="B30" s="2" t="s">
        <v>89</v>
      </c>
      <c r="E30" s="26">
        <f t="shared" ref="E30:AJ30" si="58">E25+E26-E29</f>
        <v>0</v>
      </c>
      <c r="F30" s="26">
        <f t="shared" si="58"/>
        <v>0</v>
      </c>
      <c r="G30" s="26">
        <f t="shared" si="58"/>
        <v>0</v>
      </c>
      <c r="H30" s="26">
        <f t="shared" si="58"/>
        <v>0</v>
      </c>
      <c r="I30" s="26">
        <f t="shared" si="58"/>
        <v>0</v>
      </c>
      <c r="J30" s="26">
        <f t="shared" si="58"/>
        <v>0</v>
      </c>
      <c r="K30" s="26">
        <f t="shared" si="58"/>
        <v>0</v>
      </c>
      <c r="L30" s="26">
        <f t="shared" si="58"/>
        <v>0</v>
      </c>
      <c r="M30" s="26">
        <f t="shared" si="58"/>
        <v>0</v>
      </c>
      <c r="N30" s="26">
        <f t="shared" si="58"/>
        <v>0</v>
      </c>
      <c r="O30" s="26">
        <f t="shared" si="58"/>
        <v>0</v>
      </c>
      <c r="P30" s="26">
        <f t="shared" si="58"/>
        <v>0</v>
      </c>
      <c r="Q30" s="26">
        <f t="shared" si="58"/>
        <v>0</v>
      </c>
      <c r="R30" s="26">
        <f t="shared" si="58"/>
        <v>0</v>
      </c>
      <c r="S30" s="26">
        <f t="shared" si="58"/>
        <v>0</v>
      </c>
      <c r="T30" s="26">
        <f t="shared" si="58"/>
        <v>0</v>
      </c>
      <c r="U30" s="26">
        <f t="shared" si="58"/>
        <v>0</v>
      </c>
      <c r="V30" s="26">
        <f t="shared" si="58"/>
        <v>0</v>
      </c>
      <c r="W30" s="26">
        <f t="shared" si="58"/>
        <v>0</v>
      </c>
      <c r="X30" s="26">
        <f t="shared" si="58"/>
        <v>0</v>
      </c>
      <c r="Y30" s="26">
        <f t="shared" si="58"/>
        <v>0</v>
      </c>
      <c r="Z30" s="26">
        <f t="shared" si="58"/>
        <v>0</v>
      </c>
      <c r="AA30" s="26">
        <f t="shared" si="58"/>
        <v>0</v>
      </c>
      <c r="AB30" s="26">
        <f t="shared" si="58"/>
        <v>0</v>
      </c>
      <c r="AC30" s="26">
        <f t="shared" si="58"/>
        <v>0</v>
      </c>
      <c r="AD30" s="26">
        <f t="shared" si="58"/>
        <v>0</v>
      </c>
      <c r="AE30" s="26">
        <f t="shared" si="58"/>
        <v>0</v>
      </c>
      <c r="AF30" s="26">
        <f t="shared" si="58"/>
        <v>0</v>
      </c>
      <c r="AG30" s="26">
        <f t="shared" si="58"/>
        <v>0</v>
      </c>
      <c r="AH30" s="26">
        <f t="shared" si="58"/>
        <v>0</v>
      </c>
      <c r="AI30" s="26">
        <f t="shared" si="58"/>
        <v>0</v>
      </c>
      <c r="AJ30" s="26">
        <f t="shared" si="58"/>
        <v>0</v>
      </c>
      <c r="AK30" s="26">
        <f t="shared" ref="AK30:BP30" si="59">AK25+AK26-AK29</f>
        <v>0</v>
      </c>
      <c r="AL30" s="26">
        <f t="shared" si="59"/>
        <v>0</v>
      </c>
      <c r="AM30" s="26">
        <f t="shared" si="59"/>
        <v>0</v>
      </c>
      <c r="AN30" s="26">
        <f t="shared" si="59"/>
        <v>0</v>
      </c>
      <c r="AO30" s="26">
        <f t="shared" si="59"/>
        <v>0</v>
      </c>
      <c r="AP30" s="26">
        <f t="shared" si="59"/>
        <v>0</v>
      </c>
      <c r="AQ30" s="26">
        <f t="shared" si="59"/>
        <v>0</v>
      </c>
      <c r="AR30" s="26">
        <f t="shared" si="59"/>
        <v>0</v>
      </c>
      <c r="AS30" s="26">
        <f t="shared" si="59"/>
        <v>0</v>
      </c>
      <c r="AT30" s="26">
        <f t="shared" si="59"/>
        <v>0</v>
      </c>
      <c r="AU30" s="26">
        <f t="shared" si="59"/>
        <v>0</v>
      </c>
      <c r="AV30" s="26">
        <f t="shared" si="59"/>
        <v>0</v>
      </c>
      <c r="AW30" s="26">
        <f t="shared" si="59"/>
        <v>0</v>
      </c>
      <c r="AX30" s="26">
        <f t="shared" si="59"/>
        <v>0</v>
      </c>
      <c r="AY30" s="26">
        <f t="shared" si="59"/>
        <v>0</v>
      </c>
      <c r="AZ30" s="26">
        <f t="shared" si="59"/>
        <v>0</v>
      </c>
      <c r="BA30" s="26">
        <f t="shared" si="59"/>
        <v>0</v>
      </c>
      <c r="BB30" s="26">
        <f t="shared" si="59"/>
        <v>0</v>
      </c>
      <c r="BC30" s="26">
        <f t="shared" si="59"/>
        <v>0</v>
      </c>
      <c r="BD30" s="26">
        <f t="shared" si="59"/>
        <v>0</v>
      </c>
      <c r="BE30" s="26">
        <f t="shared" si="59"/>
        <v>0</v>
      </c>
      <c r="BF30" s="26">
        <f t="shared" si="59"/>
        <v>0</v>
      </c>
      <c r="BG30" s="26">
        <f t="shared" si="59"/>
        <v>0</v>
      </c>
      <c r="BH30" s="26">
        <f t="shared" si="59"/>
        <v>0</v>
      </c>
      <c r="BI30" s="26">
        <f t="shared" si="59"/>
        <v>0</v>
      </c>
      <c r="BJ30" s="26">
        <f t="shared" si="59"/>
        <v>0</v>
      </c>
      <c r="BK30" s="26">
        <f t="shared" si="59"/>
        <v>0</v>
      </c>
      <c r="BL30" s="26">
        <f t="shared" si="59"/>
        <v>0</v>
      </c>
      <c r="BM30" s="26">
        <f t="shared" si="59"/>
        <v>0</v>
      </c>
      <c r="BN30" s="26">
        <f t="shared" si="59"/>
        <v>0</v>
      </c>
      <c r="BO30" s="26">
        <f t="shared" si="59"/>
        <v>0</v>
      </c>
      <c r="BP30" s="26">
        <f t="shared" si="59"/>
        <v>0</v>
      </c>
      <c r="BQ30" s="26">
        <f t="shared" ref="BQ30:CV30" si="60">BQ25+BQ26-BQ29</f>
        <v>0</v>
      </c>
      <c r="BR30" s="26">
        <f t="shared" si="60"/>
        <v>0</v>
      </c>
      <c r="BS30" s="26">
        <f t="shared" si="60"/>
        <v>0</v>
      </c>
      <c r="BT30" s="26">
        <f t="shared" si="60"/>
        <v>0</v>
      </c>
      <c r="BU30" s="26">
        <f t="shared" si="60"/>
        <v>0</v>
      </c>
      <c r="BV30" s="26">
        <f t="shared" si="60"/>
        <v>0</v>
      </c>
      <c r="BW30" s="26">
        <f t="shared" si="60"/>
        <v>0</v>
      </c>
      <c r="BX30" s="26">
        <f t="shared" si="60"/>
        <v>0</v>
      </c>
      <c r="BY30" s="26">
        <f t="shared" si="60"/>
        <v>0</v>
      </c>
      <c r="BZ30" s="26">
        <f t="shared" si="60"/>
        <v>0</v>
      </c>
      <c r="CA30" s="26">
        <f t="shared" si="60"/>
        <v>0</v>
      </c>
      <c r="CB30" s="26">
        <f t="shared" si="60"/>
        <v>0</v>
      </c>
      <c r="CC30" s="26">
        <f t="shared" si="60"/>
        <v>0</v>
      </c>
      <c r="CD30" s="26">
        <f t="shared" si="60"/>
        <v>0</v>
      </c>
      <c r="CE30" s="26">
        <f t="shared" si="60"/>
        <v>0</v>
      </c>
      <c r="CF30" s="26">
        <f t="shared" si="60"/>
        <v>0</v>
      </c>
      <c r="CG30" s="26">
        <f t="shared" si="60"/>
        <v>0</v>
      </c>
      <c r="CH30" s="26">
        <f t="shared" si="60"/>
        <v>0</v>
      </c>
      <c r="CI30" s="26">
        <f t="shared" si="60"/>
        <v>0</v>
      </c>
      <c r="CJ30" s="26">
        <f t="shared" si="60"/>
        <v>0</v>
      </c>
      <c r="CK30" s="26">
        <f t="shared" si="60"/>
        <v>0</v>
      </c>
      <c r="CL30" s="26">
        <f t="shared" si="60"/>
        <v>0</v>
      </c>
      <c r="CM30" s="26">
        <f t="shared" si="60"/>
        <v>0</v>
      </c>
      <c r="CN30" s="26">
        <f t="shared" si="60"/>
        <v>0</v>
      </c>
      <c r="CO30" s="26">
        <f t="shared" si="60"/>
        <v>0</v>
      </c>
      <c r="CP30" s="26">
        <f t="shared" si="60"/>
        <v>0</v>
      </c>
      <c r="CQ30" s="26">
        <f t="shared" si="60"/>
        <v>0</v>
      </c>
      <c r="CR30" s="26">
        <f t="shared" si="60"/>
        <v>0</v>
      </c>
      <c r="CS30" s="26">
        <f t="shared" si="60"/>
        <v>0</v>
      </c>
      <c r="CT30" s="26">
        <f t="shared" si="60"/>
        <v>0</v>
      </c>
      <c r="CU30" s="26">
        <f t="shared" si="60"/>
        <v>0</v>
      </c>
      <c r="CV30" s="26">
        <f t="shared" si="60"/>
        <v>0</v>
      </c>
      <c r="CW30" s="26">
        <f t="shared" ref="CW30:EB30" si="61">CW25+CW26-CW29</f>
        <v>0</v>
      </c>
      <c r="CX30" s="26">
        <f t="shared" si="61"/>
        <v>0</v>
      </c>
      <c r="CY30" s="26">
        <f t="shared" si="61"/>
        <v>0</v>
      </c>
      <c r="CZ30" s="26">
        <f t="shared" si="61"/>
        <v>0</v>
      </c>
      <c r="DA30" s="26">
        <f t="shared" si="61"/>
        <v>0</v>
      </c>
      <c r="DB30" s="26">
        <f t="shared" si="61"/>
        <v>0</v>
      </c>
      <c r="DC30" s="26">
        <f t="shared" si="61"/>
        <v>0</v>
      </c>
      <c r="DD30" s="26">
        <f t="shared" si="61"/>
        <v>0</v>
      </c>
      <c r="DE30" s="26">
        <f t="shared" si="61"/>
        <v>0</v>
      </c>
      <c r="DF30" s="26">
        <f t="shared" si="61"/>
        <v>0</v>
      </c>
      <c r="DG30" s="26">
        <f t="shared" si="61"/>
        <v>0</v>
      </c>
      <c r="DH30" s="26">
        <f t="shared" si="61"/>
        <v>0</v>
      </c>
      <c r="DI30" s="26">
        <f t="shared" si="61"/>
        <v>0</v>
      </c>
      <c r="DJ30" s="26">
        <f t="shared" si="61"/>
        <v>0</v>
      </c>
      <c r="DK30" s="26">
        <f t="shared" si="61"/>
        <v>0</v>
      </c>
      <c r="DL30" s="26">
        <f t="shared" si="61"/>
        <v>0</v>
      </c>
      <c r="DM30" s="26">
        <f t="shared" si="61"/>
        <v>0</v>
      </c>
      <c r="DN30" s="26">
        <f t="shared" si="61"/>
        <v>0</v>
      </c>
      <c r="DO30" s="26">
        <f t="shared" si="61"/>
        <v>0</v>
      </c>
      <c r="DP30" s="26">
        <f t="shared" si="61"/>
        <v>0</v>
      </c>
      <c r="DQ30" s="26">
        <f t="shared" si="61"/>
        <v>0</v>
      </c>
      <c r="DR30" s="26">
        <f t="shared" si="61"/>
        <v>0</v>
      </c>
      <c r="DS30" s="26">
        <f t="shared" si="61"/>
        <v>0</v>
      </c>
      <c r="DT30" s="26">
        <f t="shared" si="61"/>
        <v>0</v>
      </c>
      <c r="DU30" s="26">
        <f t="shared" si="61"/>
        <v>0</v>
      </c>
      <c r="DV30" s="26">
        <f t="shared" si="61"/>
        <v>0</v>
      </c>
      <c r="DW30" s="26">
        <f t="shared" si="61"/>
        <v>0</v>
      </c>
      <c r="DX30" s="26">
        <f t="shared" si="61"/>
        <v>0</v>
      </c>
      <c r="DY30" s="26">
        <f t="shared" si="61"/>
        <v>0</v>
      </c>
      <c r="DZ30" s="26">
        <f t="shared" si="61"/>
        <v>0</v>
      </c>
      <c r="EA30" s="26">
        <f t="shared" si="61"/>
        <v>0</v>
      </c>
      <c r="EB30" s="26">
        <f t="shared" si="61"/>
        <v>0</v>
      </c>
      <c r="EC30" s="26">
        <f t="shared" ref="EC30:FH30" si="62">EC25+EC26-EC29</f>
        <v>0</v>
      </c>
      <c r="ED30" s="26">
        <f t="shared" si="62"/>
        <v>0</v>
      </c>
      <c r="EE30" s="26">
        <f t="shared" si="62"/>
        <v>0</v>
      </c>
      <c r="EF30" s="26">
        <f t="shared" si="62"/>
        <v>0</v>
      </c>
      <c r="EG30" s="26">
        <f t="shared" si="62"/>
        <v>0</v>
      </c>
      <c r="EH30" s="26">
        <f t="shared" si="62"/>
        <v>0</v>
      </c>
      <c r="EI30" s="26">
        <f t="shared" si="62"/>
        <v>0</v>
      </c>
      <c r="EJ30" s="26">
        <f t="shared" si="62"/>
        <v>0</v>
      </c>
      <c r="EK30" s="26">
        <f t="shared" si="62"/>
        <v>0</v>
      </c>
      <c r="EL30" s="26">
        <f t="shared" si="62"/>
        <v>0</v>
      </c>
      <c r="EM30" s="26">
        <f t="shared" si="62"/>
        <v>0</v>
      </c>
      <c r="EN30" s="26">
        <f t="shared" si="62"/>
        <v>0</v>
      </c>
      <c r="EO30" s="26">
        <f t="shared" si="62"/>
        <v>0</v>
      </c>
      <c r="EP30" s="26">
        <f t="shared" si="62"/>
        <v>0</v>
      </c>
      <c r="EQ30" s="26">
        <f t="shared" si="62"/>
        <v>0</v>
      </c>
      <c r="ER30" s="26">
        <f t="shared" si="62"/>
        <v>0</v>
      </c>
      <c r="ES30" s="26">
        <f t="shared" si="62"/>
        <v>0</v>
      </c>
      <c r="ET30" s="26">
        <f t="shared" si="62"/>
        <v>0</v>
      </c>
      <c r="EU30" s="26">
        <f t="shared" si="62"/>
        <v>0</v>
      </c>
      <c r="EV30" s="26">
        <f t="shared" si="62"/>
        <v>0</v>
      </c>
      <c r="EW30" s="26">
        <f t="shared" si="62"/>
        <v>0</v>
      </c>
      <c r="EX30" s="26">
        <f t="shared" si="62"/>
        <v>0</v>
      </c>
      <c r="EY30" s="26">
        <f t="shared" si="62"/>
        <v>0</v>
      </c>
      <c r="EZ30" s="26">
        <f t="shared" si="62"/>
        <v>0</v>
      </c>
      <c r="FA30" s="26">
        <f t="shared" si="62"/>
        <v>0</v>
      </c>
      <c r="FB30" s="26">
        <f t="shared" si="62"/>
        <v>0</v>
      </c>
      <c r="FC30" s="26">
        <f t="shared" si="62"/>
        <v>0</v>
      </c>
      <c r="FD30" s="26">
        <f t="shared" si="62"/>
        <v>0</v>
      </c>
      <c r="FE30" s="26">
        <f t="shared" si="62"/>
        <v>0</v>
      </c>
      <c r="FF30" s="26">
        <f t="shared" si="62"/>
        <v>0</v>
      </c>
      <c r="FG30" s="26">
        <f t="shared" si="62"/>
        <v>0</v>
      </c>
      <c r="FH30" s="26">
        <f t="shared" si="62"/>
        <v>0</v>
      </c>
      <c r="FI30" s="26">
        <f t="shared" ref="FI30:FK30" si="63">FI25+FI26-FI29</f>
        <v>0</v>
      </c>
      <c r="FJ30" s="26">
        <f t="shared" si="63"/>
        <v>0</v>
      </c>
      <c r="FK30" s="26">
        <f t="shared" si="63"/>
        <v>0</v>
      </c>
    </row>
    <row r="31" spans="2:167" x14ac:dyDescent="0.35">
      <c r="B31" s="130" t="s">
        <v>179</v>
      </c>
      <c r="C31" s="2">
        <f>IF(in_e_precatorio="Sim",IF(in_causa&gt;0,in_causa,in_face),in_face+SUMPRODUCT((Motor!$E$2:$FK$2&lt;=$C17)*(IF($D19="Pré",0,IF($D19="CDI",Motor!$E$7:$FK$7,Motor!$E$8:$FK$8))+$C19)*Motor!$E$3:$FK$3/365)*in_causa)</f>
        <v>0</v>
      </c>
    </row>
    <row r="32" spans="2:167" x14ac:dyDescent="0.35">
      <c r="B32" s="45" t="s">
        <v>90</v>
      </c>
      <c r="C32" s="45"/>
      <c r="D32" s="45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2"/>
      <c r="CM32" s="52"/>
      <c r="CN32" s="52"/>
      <c r="CO32" s="52"/>
      <c r="CP32" s="52"/>
      <c r="CQ32" s="52"/>
      <c r="CR32" s="52"/>
      <c r="CS32" s="52"/>
      <c r="CT32" s="52"/>
      <c r="CU32" s="52"/>
      <c r="CV32" s="52"/>
      <c r="CW32" s="52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52"/>
      <c r="DS32" s="52"/>
      <c r="DT32" s="52"/>
      <c r="DU32" s="52"/>
      <c r="DV32" s="52"/>
      <c r="DW32" s="52"/>
      <c r="DX32" s="52"/>
      <c r="DY32" s="52"/>
      <c r="DZ32" s="52"/>
      <c r="EA32" s="52"/>
      <c r="EB32" s="52"/>
      <c r="EC32" s="52"/>
      <c r="ED32" s="52"/>
      <c r="EE32" s="52"/>
      <c r="EF32" s="52"/>
      <c r="EG32" s="52"/>
      <c r="EH32" s="52"/>
      <c r="EI32" s="52"/>
      <c r="EJ32" s="52"/>
      <c r="EK32" s="52"/>
      <c r="EL32" s="52"/>
      <c r="EM32" s="52"/>
      <c r="EN32" s="52"/>
      <c r="EO32" s="52"/>
      <c r="EP32" s="52"/>
      <c r="EQ32" s="52"/>
      <c r="ER32" s="52"/>
      <c r="ES32" s="52"/>
      <c r="ET32" s="52"/>
      <c r="EU32" s="52"/>
      <c r="EV32" s="52"/>
      <c r="EW32" s="52"/>
      <c r="EX32" s="52"/>
      <c r="EY32" s="52"/>
      <c r="EZ32" s="52"/>
      <c r="FA32" s="52"/>
      <c r="FB32" s="52"/>
      <c r="FC32" s="52"/>
      <c r="FD32" s="52"/>
      <c r="FE32" s="52"/>
      <c r="FF32" s="52"/>
      <c r="FG32" s="52"/>
      <c r="FH32" s="52"/>
      <c r="FI32" s="52"/>
      <c r="FJ32" s="52"/>
      <c r="FK32" s="52"/>
    </row>
    <row r="33" spans="1:167" x14ac:dyDescent="0.35">
      <c r="B33" s="2" t="s">
        <v>91</v>
      </c>
      <c r="C33" s="34" t="e">
        <f>1-C34/C23</f>
        <v>#DIV/0!</v>
      </c>
    </row>
    <row r="34" spans="1:167" x14ac:dyDescent="0.35">
      <c r="B34" s="2" t="s">
        <v>92</v>
      </c>
      <c r="C34" s="65">
        <f>SUM(E49:FK49)*sens_pricef</f>
        <v>0</v>
      </c>
    </row>
    <row r="35" spans="1:167" collapsed="1" x14ac:dyDescent="0.35">
      <c r="B35" s="45" t="s">
        <v>93</v>
      </c>
      <c r="C35" s="45"/>
      <c r="D35" s="45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2"/>
      <c r="CM35" s="52"/>
      <c r="CN35" s="52"/>
      <c r="CO35" s="52"/>
      <c r="CP35" s="52"/>
      <c r="CQ35" s="52"/>
      <c r="CR35" s="52"/>
      <c r="CS35" s="52"/>
      <c r="CT35" s="52"/>
      <c r="CU35" s="52"/>
      <c r="CV35" s="52"/>
      <c r="CW35" s="52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52"/>
      <c r="DS35" s="52"/>
      <c r="DT35" s="52"/>
      <c r="DU35" s="52"/>
      <c r="DV35" s="52"/>
      <c r="DW35" s="52"/>
      <c r="DX35" s="52"/>
      <c r="DY35" s="52"/>
      <c r="DZ35" s="52"/>
      <c r="EA35" s="52"/>
      <c r="EB35" s="52"/>
      <c r="EC35" s="52"/>
      <c r="ED35" s="52"/>
      <c r="EE35" s="52"/>
      <c r="EF35" s="52"/>
      <c r="EG35" s="52"/>
      <c r="EH35" s="52"/>
      <c r="EI35" s="52"/>
      <c r="EJ35" s="52"/>
      <c r="EK35" s="52"/>
      <c r="EL35" s="52"/>
      <c r="EM35" s="52"/>
      <c r="EN35" s="52"/>
      <c r="EO35" s="52"/>
      <c r="EP35" s="52"/>
      <c r="EQ35" s="52"/>
      <c r="ER35" s="52"/>
      <c r="ES35" s="52"/>
      <c r="ET35" s="52"/>
      <c r="EU35" s="52"/>
      <c r="EV35" s="52"/>
      <c r="EW35" s="52"/>
      <c r="EX35" s="52"/>
      <c r="EY35" s="52"/>
      <c r="EZ35" s="52"/>
      <c r="FA35" s="52"/>
      <c r="FB35" s="52"/>
      <c r="FC35" s="52"/>
      <c r="FD35" s="52"/>
      <c r="FE35" s="52"/>
      <c r="FF35" s="52"/>
      <c r="FG35" s="52"/>
      <c r="FH35" s="52"/>
      <c r="FI35" s="52"/>
      <c r="FJ35" s="52"/>
      <c r="FK35" s="52"/>
    </row>
    <row r="36" spans="1:167" hidden="1" outlineLevel="1" x14ac:dyDescent="0.35">
      <c r="B36" s="2" t="s">
        <v>94</v>
      </c>
      <c r="E36" s="26">
        <f>C34</f>
        <v>0</v>
      </c>
      <c r="F36" s="26">
        <f t="shared" ref="F36:AK36" si="64">E40</f>
        <v>0</v>
      </c>
      <c r="G36" s="26">
        <f t="shared" si="64"/>
        <v>0</v>
      </c>
      <c r="H36" s="26">
        <f t="shared" si="64"/>
        <v>0</v>
      </c>
      <c r="I36" s="26">
        <f t="shared" si="64"/>
        <v>0</v>
      </c>
      <c r="J36" s="26">
        <f t="shared" si="64"/>
        <v>0</v>
      </c>
      <c r="K36" s="26">
        <f t="shared" si="64"/>
        <v>0</v>
      </c>
      <c r="L36" s="26">
        <f t="shared" si="64"/>
        <v>0</v>
      </c>
      <c r="M36" s="26">
        <f t="shared" si="64"/>
        <v>0</v>
      </c>
      <c r="N36" s="26">
        <f t="shared" si="64"/>
        <v>0</v>
      </c>
      <c r="O36" s="26">
        <f t="shared" si="64"/>
        <v>0</v>
      </c>
      <c r="P36" s="26">
        <f t="shared" si="64"/>
        <v>0</v>
      </c>
      <c r="Q36" s="26">
        <f t="shared" si="64"/>
        <v>0</v>
      </c>
      <c r="R36" s="26">
        <f t="shared" si="64"/>
        <v>0</v>
      </c>
      <c r="S36" s="26">
        <f t="shared" si="64"/>
        <v>0</v>
      </c>
      <c r="T36" s="26">
        <f t="shared" si="64"/>
        <v>0</v>
      </c>
      <c r="U36" s="26">
        <f t="shared" si="64"/>
        <v>0</v>
      </c>
      <c r="V36" s="26">
        <f t="shared" si="64"/>
        <v>0</v>
      </c>
      <c r="W36" s="26">
        <f t="shared" si="64"/>
        <v>0</v>
      </c>
      <c r="X36" s="26">
        <f t="shared" si="64"/>
        <v>0</v>
      </c>
      <c r="Y36" s="26">
        <f t="shared" si="64"/>
        <v>0</v>
      </c>
      <c r="Z36" s="26">
        <f t="shared" si="64"/>
        <v>0</v>
      </c>
      <c r="AA36" s="26">
        <f t="shared" si="64"/>
        <v>0</v>
      </c>
      <c r="AB36" s="26">
        <f t="shared" si="64"/>
        <v>0</v>
      </c>
      <c r="AC36" s="26">
        <f t="shared" si="64"/>
        <v>0</v>
      </c>
      <c r="AD36" s="26">
        <f t="shared" si="64"/>
        <v>0</v>
      </c>
      <c r="AE36" s="26">
        <f t="shared" si="64"/>
        <v>0</v>
      </c>
      <c r="AF36" s="26">
        <f t="shared" si="64"/>
        <v>0</v>
      </c>
      <c r="AG36" s="26">
        <f t="shared" si="64"/>
        <v>0</v>
      </c>
      <c r="AH36" s="26">
        <f t="shared" si="64"/>
        <v>0</v>
      </c>
      <c r="AI36" s="26">
        <f t="shared" si="64"/>
        <v>0</v>
      </c>
      <c r="AJ36" s="26">
        <f t="shared" si="64"/>
        <v>0</v>
      </c>
      <c r="AK36" s="26">
        <f t="shared" si="64"/>
        <v>0</v>
      </c>
      <c r="AL36" s="26">
        <f t="shared" ref="AL36:BQ36" si="65">AK40</f>
        <v>0</v>
      </c>
      <c r="AM36" s="26">
        <f t="shared" si="65"/>
        <v>0</v>
      </c>
      <c r="AN36" s="26">
        <f t="shared" si="65"/>
        <v>0</v>
      </c>
      <c r="AO36" s="26">
        <f t="shared" si="65"/>
        <v>0</v>
      </c>
      <c r="AP36" s="26">
        <f t="shared" si="65"/>
        <v>0</v>
      </c>
      <c r="AQ36" s="26">
        <f t="shared" si="65"/>
        <v>0</v>
      </c>
      <c r="AR36" s="26">
        <f t="shared" si="65"/>
        <v>0</v>
      </c>
      <c r="AS36" s="26">
        <f t="shared" si="65"/>
        <v>0</v>
      </c>
      <c r="AT36" s="26">
        <f t="shared" si="65"/>
        <v>0</v>
      </c>
      <c r="AU36" s="26">
        <f t="shared" si="65"/>
        <v>0</v>
      </c>
      <c r="AV36" s="26">
        <f t="shared" si="65"/>
        <v>0</v>
      </c>
      <c r="AW36" s="26">
        <f t="shared" si="65"/>
        <v>0</v>
      </c>
      <c r="AX36" s="26">
        <f t="shared" si="65"/>
        <v>0</v>
      </c>
      <c r="AY36" s="26">
        <f t="shared" si="65"/>
        <v>0</v>
      </c>
      <c r="AZ36" s="26">
        <f t="shared" si="65"/>
        <v>0</v>
      </c>
      <c r="BA36" s="26">
        <f t="shared" si="65"/>
        <v>0</v>
      </c>
      <c r="BB36" s="26">
        <f t="shared" si="65"/>
        <v>0</v>
      </c>
      <c r="BC36" s="26">
        <f t="shared" si="65"/>
        <v>0</v>
      </c>
      <c r="BD36" s="26">
        <f t="shared" si="65"/>
        <v>0</v>
      </c>
      <c r="BE36" s="26">
        <f t="shared" si="65"/>
        <v>0</v>
      </c>
      <c r="BF36" s="26">
        <f t="shared" si="65"/>
        <v>0</v>
      </c>
      <c r="BG36" s="26">
        <f t="shared" si="65"/>
        <v>0</v>
      </c>
      <c r="BH36" s="26">
        <f t="shared" si="65"/>
        <v>0</v>
      </c>
      <c r="BI36" s="26">
        <f t="shared" si="65"/>
        <v>0</v>
      </c>
      <c r="BJ36" s="26">
        <f t="shared" si="65"/>
        <v>0</v>
      </c>
      <c r="BK36" s="26">
        <f t="shared" si="65"/>
        <v>0</v>
      </c>
      <c r="BL36" s="26">
        <f t="shared" si="65"/>
        <v>0</v>
      </c>
      <c r="BM36" s="26">
        <f t="shared" si="65"/>
        <v>0</v>
      </c>
      <c r="BN36" s="26">
        <f t="shared" si="65"/>
        <v>0</v>
      </c>
      <c r="BO36" s="26">
        <f t="shared" si="65"/>
        <v>0</v>
      </c>
      <c r="BP36" s="26">
        <f t="shared" si="65"/>
        <v>0</v>
      </c>
      <c r="BQ36" s="26">
        <f t="shared" si="65"/>
        <v>0</v>
      </c>
      <c r="BR36" s="26">
        <f t="shared" ref="BR36:CW36" si="66">BQ40</f>
        <v>0</v>
      </c>
      <c r="BS36" s="26">
        <f t="shared" si="66"/>
        <v>0</v>
      </c>
      <c r="BT36" s="26">
        <f t="shared" si="66"/>
        <v>0</v>
      </c>
      <c r="BU36" s="26">
        <f t="shared" si="66"/>
        <v>0</v>
      </c>
      <c r="BV36" s="26">
        <f t="shared" si="66"/>
        <v>0</v>
      </c>
      <c r="BW36" s="26">
        <f t="shared" si="66"/>
        <v>0</v>
      </c>
      <c r="BX36" s="26">
        <f t="shared" si="66"/>
        <v>0</v>
      </c>
      <c r="BY36" s="26">
        <f t="shared" si="66"/>
        <v>0</v>
      </c>
      <c r="BZ36" s="26">
        <f t="shared" si="66"/>
        <v>0</v>
      </c>
      <c r="CA36" s="26">
        <f t="shared" si="66"/>
        <v>0</v>
      </c>
      <c r="CB36" s="26">
        <f t="shared" si="66"/>
        <v>0</v>
      </c>
      <c r="CC36" s="26">
        <f t="shared" si="66"/>
        <v>0</v>
      </c>
      <c r="CD36" s="26">
        <f t="shared" si="66"/>
        <v>0</v>
      </c>
      <c r="CE36" s="26">
        <f t="shared" si="66"/>
        <v>0</v>
      </c>
      <c r="CF36" s="26">
        <f t="shared" si="66"/>
        <v>0</v>
      </c>
      <c r="CG36" s="26">
        <f t="shared" si="66"/>
        <v>0</v>
      </c>
      <c r="CH36" s="26">
        <f t="shared" si="66"/>
        <v>0</v>
      </c>
      <c r="CI36" s="26">
        <f t="shared" si="66"/>
        <v>0</v>
      </c>
      <c r="CJ36" s="26">
        <f t="shared" si="66"/>
        <v>0</v>
      </c>
      <c r="CK36" s="26">
        <f t="shared" si="66"/>
        <v>0</v>
      </c>
      <c r="CL36" s="26">
        <f t="shared" si="66"/>
        <v>0</v>
      </c>
      <c r="CM36" s="26">
        <f t="shared" si="66"/>
        <v>0</v>
      </c>
      <c r="CN36" s="26">
        <f t="shared" si="66"/>
        <v>0</v>
      </c>
      <c r="CO36" s="26">
        <f t="shared" si="66"/>
        <v>0</v>
      </c>
      <c r="CP36" s="26">
        <f t="shared" si="66"/>
        <v>0</v>
      </c>
      <c r="CQ36" s="26">
        <f t="shared" si="66"/>
        <v>0</v>
      </c>
      <c r="CR36" s="26">
        <f t="shared" si="66"/>
        <v>0</v>
      </c>
      <c r="CS36" s="26">
        <f t="shared" si="66"/>
        <v>0</v>
      </c>
      <c r="CT36" s="26">
        <f t="shared" si="66"/>
        <v>0</v>
      </c>
      <c r="CU36" s="26">
        <f t="shared" si="66"/>
        <v>0</v>
      </c>
      <c r="CV36" s="26">
        <f t="shared" si="66"/>
        <v>0</v>
      </c>
      <c r="CW36" s="26">
        <f t="shared" si="66"/>
        <v>0</v>
      </c>
      <c r="CX36" s="26">
        <f t="shared" ref="CX36:EC36" si="67">CW40</f>
        <v>0</v>
      </c>
      <c r="CY36" s="26">
        <f t="shared" si="67"/>
        <v>0</v>
      </c>
      <c r="CZ36" s="26">
        <f t="shared" si="67"/>
        <v>0</v>
      </c>
      <c r="DA36" s="26">
        <f t="shared" si="67"/>
        <v>0</v>
      </c>
      <c r="DB36" s="26">
        <f t="shared" si="67"/>
        <v>0</v>
      </c>
      <c r="DC36" s="26">
        <f t="shared" si="67"/>
        <v>0</v>
      </c>
      <c r="DD36" s="26">
        <f t="shared" si="67"/>
        <v>0</v>
      </c>
      <c r="DE36" s="26">
        <f t="shared" si="67"/>
        <v>0</v>
      </c>
      <c r="DF36" s="26">
        <f t="shared" si="67"/>
        <v>0</v>
      </c>
      <c r="DG36" s="26">
        <f t="shared" si="67"/>
        <v>0</v>
      </c>
      <c r="DH36" s="26">
        <f t="shared" si="67"/>
        <v>0</v>
      </c>
      <c r="DI36" s="26">
        <f t="shared" si="67"/>
        <v>0</v>
      </c>
      <c r="DJ36" s="26">
        <f t="shared" si="67"/>
        <v>0</v>
      </c>
      <c r="DK36" s="26">
        <f t="shared" si="67"/>
        <v>0</v>
      </c>
      <c r="DL36" s="26">
        <f t="shared" si="67"/>
        <v>0</v>
      </c>
      <c r="DM36" s="26">
        <f t="shared" si="67"/>
        <v>0</v>
      </c>
      <c r="DN36" s="26">
        <f t="shared" si="67"/>
        <v>0</v>
      </c>
      <c r="DO36" s="26">
        <f t="shared" si="67"/>
        <v>0</v>
      </c>
      <c r="DP36" s="26">
        <f t="shared" si="67"/>
        <v>0</v>
      </c>
      <c r="DQ36" s="26">
        <f t="shared" si="67"/>
        <v>0</v>
      </c>
      <c r="DR36" s="26">
        <f t="shared" si="67"/>
        <v>0</v>
      </c>
      <c r="DS36" s="26">
        <f t="shared" si="67"/>
        <v>0</v>
      </c>
      <c r="DT36" s="26">
        <f t="shared" si="67"/>
        <v>0</v>
      </c>
      <c r="DU36" s="26">
        <f t="shared" si="67"/>
        <v>0</v>
      </c>
      <c r="DV36" s="26">
        <f t="shared" si="67"/>
        <v>0</v>
      </c>
      <c r="DW36" s="26">
        <f t="shared" si="67"/>
        <v>0</v>
      </c>
      <c r="DX36" s="26">
        <f t="shared" si="67"/>
        <v>0</v>
      </c>
      <c r="DY36" s="26">
        <f t="shared" si="67"/>
        <v>0</v>
      </c>
      <c r="DZ36" s="26">
        <f t="shared" si="67"/>
        <v>0</v>
      </c>
      <c r="EA36" s="26">
        <f t="shared" si="67"/>
        <v>0</v>
      </c>
      <c r="EB36" s="26">
        <f t="shared" si="67"/>
        <v>0</v>
      </c>
      <c r="EC36" s="26">
        <f t="shared" si="67"/>
        <v>0</v>
      </c>
      <c r="ED36" s="26">
        <f t="shared" ref="ED36:FK36" si="68">EC40</f>
        <v>0</v>
      </c>
      <c r="EE36" s="26">
        <f t="shared" si="68"/>
        <v>0</v>
      </c>
      <c r="EF36" s="26">
        <f t="shared" si="68"/>
        <v>0</v>
      </c>
      <c r="EG36" s="26">
        <f t="shared" si="68"/>
        <v>0</v>
      </c>
      <c r="EH36" s="26">
        <f t="shared" si="68"/>
        <v>0</v>
      </c>
      <c r="EI36" s="26">
        <f t="shared" si="68"/>
        <v>0</v>
      </c>
      <c r="EJ36" s="26">
        <f t="shared" si="68"/>
        <v>0</v>
      </c>
      <c r="EK36" s="26">
        <f t="shared" si="68"/>
        <v>0</v>
      </c>
      <c r="EL36" s="26">
        <f t="shared" si="68"/>
        <v>0</v>
      </c>
      <c r="EM36" s="26">
        <f t="shared" si="68"/>
        <v>0</v>
      </c>
      <c r="EN36" s="26">
        <f t="shared" si="68"/>
        <v>0</v>
      </c>
      <c r="EO36" s="26">
        <f t="shared" si="68"/>
        <v>0</v>
      </c>
      <c r="EP36" s="26">
        <f t="shared" si="68"/>
        <v>0</v>
      </c>
      <c r="EQ36" s="26">
        <f t="shared" si="68"/>
        <v>0</v>
      </c>
      <c r="ER36" s="26">
        <f t="shared" si="68"/>
        <v>0</v>
      </c>
      <c r="ES36" s="26">
        <f t="shared" si="68"/>
        <v>0</v>
      </c>
      <c r="ET36" s="26">
        <f t="shared" si="68"/>
        <v>0</v>
      </c>
      <c r="EU36" s="26">
        <f t="shared" si="68"/>
        <v>0</v>
      </c>
      <c r="EV36" s="26">
        <f t="shared" si="68"/>
        <v>0</v>
      </c>
      <c r="EW36" s="26">
        <f t="shared" si="68"/>
        <v>0</v>
      </c>
      <c r="EX36" s="26">
        <f t="shared" si="68"/>
        <v>0</v>
      </c>
      <c r="EY36" s="26">
        <f t="shared" si="68"/>
        <v>0</v>
      </c>
      <c r="EZ36" s="26">
        <f t="shared" si="68"/>
        <v>0</v>
      </c>
      <c r="FA36" s="26">
        <f t="shared" si="68"/>
        <v>0</v>
      </c>
      <c r="FB36" s="26">
        <f t="shared" si="68"/>
        <v>0</v>
      </c>
      <c r="FC36" s="26">
        <f t="shared" si="68"/>
        <v>0</v>
      </c>
      <c r="FD36" s="26">
        <f t="shared" si="68"/>
        <v>0</v>
      </c>
      <c r="FE36" s="26">
        <f t="shared" si="68"/>
        <v>0</v>
      </c>
      <c r="FF36" s="26">
        <f t="shared" si="68"/>
        <v>0</v>
      </c>
      <c r="FG36" s="26">
        <f t="shared" si="68"/>
        <v>0</v>
      </c>
      <c r="FH36" s="26">
        <f t="shared" si="68"/>
        <v>0</v>
      </c>
      <c r="FI36" s="26">
        <f t="shared" si="68"/>
        <v>0</v>
      </c>
      <c r="FJ36" s="26">
        <f t="shared" si="68"/>
        <v>0</v>
      </c>
      <c r="FK36" s="26">
        <f t="shared" si="68"/>
        <v>0</v>
      </c>
    </row>
    <row r="37" spans="1:167" hidden="1" outlineLevel="1" x14ac:dyDescent="0.35">
      <c r="B37" s="2" t="s">
        <v>95</v>
      </c>
      <c r="E37" s="26">
        <f t="shared" ref="E37:AJ37" si="69">E36*((1+E$7)^(E$4/252)-1)</f>
        <v>0</v>
      </c>
      <c r="F37" s="26">
        <f t="shared" si="69"/>
        <v>0</v>
      </c>
      <c r="G37" s="26">
        <f t="shared" si="69"/>
        <v>0</v>
      </c>
      <c r="H37" s="26">
        <f t="shared" si="69"/>
        <v>0</v>
      </c>
      <c r="I37" s="26">
        <f t="shared" si="69"/>
        <v>0</v>
      </c>
      <c r="J37" s="26">
        <f t="shared" si="69"/>
        <v>0</v>
      </c>
      <c r="K37" s="26">
        <f t="shared" si="69"/>
        <v>0</v>
      </c>
      <c r="L37" s="26">
        <f t="shared" si="69"/>
        <v>0</v>
      </c>
      <c r="M37" s="26">
        <f t="shared" si="69"/>
        <v>0</v>
      </c>
      <c r="N37" s="26">
        <f t="shared" si="69"/>
        <v>0</v>
      </c>
      <c r="O37" s="26">
        <f t="shared" si="69"/>
        <v>0</v>
      </c>
      <c r="P37" s="26">
        <f t="shared" si="69"/>
        <v>0</v>
      </c>
      <c r="Q37" s="26">
        <f t="shared" si="69"/>
        <v>0</v>
      </c>
      <c r="R37" s="26">
        <f t="shared" si="69"/>
        <v>0</v>
      </c>
      <c r="S37" s="26">
        <f t="shared" si="69"/>
        <v>0</v>
      </c>
      <c r="T37" s="26">
        <f t="shared" si="69"/>
        <v>0</v>
      </c>
      <c r="U37" s="26">
        <f t="shared" si="69"/>
        <v>0</v>
      </c>
      <c r="V37" s="26">
        <f t="shared" si="69"/>
        <v>0</v>
      </c>
      <c r="W37" s="26">
        <f t="shared" si="69"/>
        <v>0</v>
      </c>
      <c r="X37" s="26">
        <f t="shared" si="69"/>
        <v>0</v>
      </c>
      <c r="Y37" s="26">
        <f t="shared" si="69"/>
        <v>0</v>
      </c>
      <c r="Z37" s="26">
        <f t="shared" si="69"/>
        <v>0</v>
      </c>
      <c r="AA37" s="26">
        <f t="shared" si="69"/>
        <v>0</v>
      </c>
      <c r="AB37" s="26">
        <f t="shared" si="69"/>
        <v>0</v>
      </c>
      <c r="AC37" s="26">
        <f t="shared" si="69"/>
        <v>0</v>
      </c>
      <c r="AD37" s="26">
        <f t="shared" si="69"/>
        <v>0</v>
      </c>
      <c r="AE37" s="26">
        <f t="shared" si="69"/>
        <v>0</v>
      </c>
      <c r="AF37" s="26">
        <f t="shared" si="69"/>
        <v>0</v>
      </c>
      <c r="AG37" s="26">
        <f t="shared" si="69"/>
        <v>0</v>
      </c>
      <c r="AH37" s="26">
        <f t="shared" si="69"/>
        <v>0</v>
      </c>
      <c r="AI37" s="26">
        <f t="shared" si="69"/>
        <v>0</v>
      </c>
      <c r="AJ37" s="26">
        <f t="shared" si="69"/>
        <v>0</v>
      </c>
      <c r="AK37" s="26">
        <f t="shared" ref="AK37:BP37" si="70">AK36*((1+AK$7)^(AK$4/252)-1)</f>
        <v>0</v>
      </c>
      <c r="AL37" s="26">
        <f t="shared" si="70"/>
        <v>0</v>
      </c>
      <c r="AM37" s="26">
        <f t="shared" si="70"/>
        <v>0</v>
      </c>
      <c r="AN37" s="26">
        <f t="shared" si="70"/>
        <v>0</v>
      </c>
      <c r="AO37" s="26">
        <f t="shared" si="70"/>
        <v>0</v>
      </c>
      <c r="AP37" s="26">
        <f t="shared" si="70"/>
        <v>0</v>
      </c>
      <c r="AQ37" s="26">
        <f t="shared" si="70"/>
        <v>0</v>
      </c>
      <c r="AR37" s="26">
        <f t="shared" si="70"/>
        <v>0</v>
      </c>
      <c r="AS37" s="26">
        <f t="shared" si="70"/>
        <v>0</v>
      </c>
      <c r="AT37" s="26">
        <f t="shared" si="70"/>
        <v>0</v>
      </c>
      <c r="AU37" s="26">
        <f t="shared" si="70"/>
        <v>0</v>
      </c>
      <c r="AV37" s="26">
        <f t="shared" si="70"/>
        <v>0</v>
      </c>
      <c r="AW37" s="26">
        <f t="shared" si="70"/>
        <v>0</v>
      </c>
      <c r="AX37" s="26">
        <f t="shared" si="70"/>
        <v>0</v>
      </c>
      <c r="AY37" s="26">
        <f t="shared" si="70"/>
        <v>0</v>
      </c>
      <c r="AZ37" s="26">
        <f t="shared" si="70"/>
        <v>0</v>
      </c>
      <c r="BA37" s="26">
        <f t="shared" si="70"/>
        <v>0</v>
      </c>
      <c r="BB37" s="26">
        <f t="shared" si="70"/>
        <v>0</v>
      </c>
      <c r="BC37" s="26">
        <f t="shared" si="70"/>
        <v>0</v>
      </c>
      <c r="BD37" s="26">
        <f t="shared" si="70"/>
        <v>0</v>
      </c>
      <c r="BE37" s="26">
        <f t="shared" si="70"/>
        <v>0</v>
      </c>
      <c r="BF37" s="26">
        <f t="shared" si="70"/>
        <v>0</v>
      </c>
      <c r="BG37" s="26">
        <f t="shared" si="70"/>
        <v>0</v>
      </c>
      <c r="BH37" s="26">
        <f t="shared" si="70"/>
        <v>0</v>
      </c>
      <c r="BI37" s="26">
        <f t="shared" si="70"/>
        <v>0</v>
      </c>
      <c r="BJ37" s="26">
        <f t="shared" si="70"/>
        <v>0</v>
      </c>
      <c r="BK37" s="26">
        <f t="shared" si="70"/>
        <v>0</v>
      </c>
      <c r="BL37" s="26">
        <f t="shared" si="70"/>
        <v>0</v>
      </c>
      <c r="BM37" s="26">
        <f t="shared" si="70"/>
        <v>0</v>
      </c>
      <c r="BN37" s="26">
        <f t="shared" si="70"/>
        <v>0</v>
      </c>
      <c r="BO37" s="26">
        <f t="shared" si="70"/>
        <v>0</v>
      </c>
      <c r="BP37" s="26">
        <f t="shared" si="70"/>
        <v>0</v>
      </c>
      <c r="BQ37" s="26">
        <f t="shared" ref="BQ37:CV37" si="71">BQ36*((1+BQ$7)^(BQ$4/252)-1)</f>
        <v>0</v>
      </c>
      <c r="BR37" s="26">
        <f t="shared" si="71"/>
        <v>0</v>
      </c>
      <c r="BS37" s="26">
        <f t="shared" si="71"/>
        <v>0</v>
      </c>
      <c r="BT37" s="26">
        <f t="shared" si="71"/>
        <v>0</v>
      </c>
      <c r="BU37" s="26">
        <f t="shared" si="71"/>
        <v>0</v>
      </c>
      <c r="BV37" s="26">
        <f t="shared" si="71"/>
        <v>0</v>
      </c>
      <c r="BW37" s="26">
        <f t="shared" si="71"/>
        <v>0</v>
      </c>
      <c r="BX37" s="26">
        <f t="shared" si="71"/>
        <v>0</v>
      </c>
      <c r="BY37" s="26">
        <f t="shared" si="71"/>
        <v>0</v>
      </c>
      <c r="BZ37" s="26">
        <f t="shared" si="71"/>
        <v>0</v>
      </c>
      <c r="CA37" s="26">
        <f t="shared" si="71"/>
        <v>0</v>
      </c>
      <c r="CB37" s="26">
        <f t="shared" si="71"/>
        <v>0</v>
      </c>
      <c r="CC37" s="26">
        <f t="shared" si="71"/>
        <v>0</v>
      </c>
      <c r="CD37" s="26">
        <f t="shared" si="71"/>
        <v>0</v>
      </c>
      <c r="CE37" s="26">
        <f t="shared" si="71"/>
        <v>0</v>
      </c>
      <c r="CF37" s="26">
        <f t="shared" si="71"/>
        <v>0</v>
      </c>
      <c r="CG37" s="26">
        <f t="shared" si="71"/>
        <v>0</v>
      </c>
      <c r="CH37" s="26">
        <f t="shared" si="71"/>
        <v>0</v>
      </c>
      <c r="CI37" s="26">
        <f t="shared" si="71"/>
        <v>0</v>
      </c>
      <c r="CJ37" s="26">
        <f t="shared" si="71"/>
        <v>0</v>
      </c>
      <c r="CK37" s="26">
        <f t="shared" si="71"/>
        <v>0</v>
      </c>
      <c r="CL37" s="26">
        <f t="shared" si="71"/>
        <v>0</v>
      </c>
      <c r="CM37" s="26">
        <f t="shared" si="71"/>
        <v>0</v>
      </c>
      <c r="CN37" s="26">
        <f t="shared" si="71"/>
        <v>0</v>
      </c>
      <c r="CO37" s="26">
        <f t="shared" si="71"/>
        <v>0</v>
      </c>
      <c r="CP37" s="26">
        <f t="shared" si="71"/>
        <v>0</v>
      </c>
      <c r="CQ37" s="26">
        <f t="shared" si="71"/>
        <v>0</v>
      </c>
      <c r="CR37" s="26">
        <f t="shared" si="71"/>
        <v>0</v>
      </c>
      <c r="CS37" s="26">
        <f t="shared" si="71"/>
        <v>0</v>
      </c>
      <c r="CT37" s="26">
        <f t="shared" si="71"/>
        <v>0</v>
      </c>
      <c r="CU37" s="26">
        <f t="shared" si="71"/>
        <v>0</v>
      </c>
      <c r="CV37" s="26">
        <f t="shared" si="71"/>
        <v>0</v>
      </c>
      <c r="CW37" s="26">
        <f t="shared" ref="CW37:EB37" si="72">CW36*((1+CW$7)^(CW$4/252)-1)</f>
        <v>0</v>
      </c>
      <c r="CX37" s="26">
        <f t="shared" si="72"/>
        <v>0</v>
      </c>
      <c r="CY37" s="26">
        <f t="shared" si="72"/>
        <v>0</v>
      </c>
      <c r="CZ37" s="26">
        <f t="shared" si="72"/>
        <v>0</v>
      </c>
      <c r="DA37" s="26">
        <f t="shared" si="72"/>
        <v>0</v>
      </c>
      <c r="DB37" s="26">
        <f t="shared" si="72"/>
        <v>0</v>
      </c>
      <c r="DC37" s="26">
        <f t="shared" si="72"/>
        <v>0</v>
      </c>
      <c r="DD37" s="26">
        <f t="shared" si="72"/>
        <v>0</v>
      </c>
      <c r="DE37" s="26">
        <f t="shared" si="72"/>
        <v>0</v>
      </c>
      <c r="DF37" s="26">
        <f t="shared" si="72"/>
        <v>0</v>
      </c>
      <c r="DG37" s="26">
        <f t="shared" si="72"/>
        <v>0</v>
      </c>
      <c r="DH37" s="26">
        <f t="shared" si="72"/>
        <v>0</v>
      </c>
      <c r="DI37" s="26">
        <f t="shared" si="72"/>
        <v>0</v>
      </c>
      <c r="DJ37" s="26">
        <f t="shared" si="72"/>
        <v>0</v>
      </c>
      <c r="DK37" s="26">
        <f t="shared" si="72"/>
        <v>0</v>
      </c>
      <c r="DL37" s="26">
        <f t="shared" si="72"/>
        <v>0</v>
      </c>
      <c r="DM37" s="26">
        <f t="shared" si="72"/>
        <v>0</v>
      </c>
      <c r="DN37" s="26">
        <f t="shared" si="72"/>
        <v>0</v>
      </c>
      <c r="DO37" s="26">
        <f t="shared" si="72"/>
        <v>0</v>
      </c>
      <c r="DP37" s="26">
        <f t="shared" si="72"/>
        <v>0</v>
      </c>
      <c r="DQ37" s="26">
        <f t="shared" si="72"/>
        <v>0</v>
      </c>
      <c r="DR37" s="26">
        <f t="shared" si="72"/>
        <v>0</v>
      </c>
      <c r="DS37" s="26">
        <f t="shared" si="72"/>
        <v>0</v>
      </c>
      <c r="DT37" s="26">
        <f t="shared" si="72"/>
        <v>0</v>
      </c>
      <c r="DU37" s="26">
        <f t="shared" si="72"/>
        <v>0</v>
      </c>
      <c r="DV37" s="26">
        <f t="shared" si="72"/>
        <v>0</v>
      </c>
      <c r="DW37" s="26">
        <f t="shared" si="72"/>
        <v>0</v>
      </c>
      <c r="DX37" s="26">
        <f t="shared" si="72"/>
        <v>0</v>
      </c>
      <c r="DY37" s="26">
        <f t="shared" si="72"/>
        <v>0</v>
      </c>
      <c r="DZ37" s="26">
        <f t="shared" si="72"/>
        <v>0</v>
      </c>
      <c r="EA37" s="26">
        <f t="shared" si="72"/>
        <v>0</v>
      </c>
      <c r="EB37" s="26">
        <f t="shared" si="72"/>
        <v>0</v>
      </c>
      <c r="EC37" s="26">
        <f t="shared" ref="EC37:FH37" si="73">EC36*((1+EC$7)^(EC$4/252)-1)</f>
        <v>0</v>
      </c>
      <c r="ED37" s="26">
        <f t="shared" si="73"/>
        <v>0</v>
      </c>
      <c r="EE37" s="26">
        <f t="shared" si="73"/>
        <v>0</v>
      </c>
      <c r="EF37" s="26">
        <f t="shared" si="73"/>
        <v>0</v>
      </c>
      <c r="EG37" s="26">
        <f t="shared" si="73"/>
        <v>0</v>
      </c>
      <c r="EH37" s="26">
        <f t="shared" si="73"/>
        <v>0</v>
      </c>
      <c r="EI37" s="26">
        <f t="shared" si="73"/>
        <v>0</v>
      </c>
      <c r="EJ37" s="26">
        <f t="shared" si="73"/>
        <v>0</v>
      </c>
      <c r="EK37" s="26">
        <f t="shared" si="73"/>
        <v>0</v>
      </c>
      <c r="EL37" s="26">
        <f t="shared" si="73"/>
        <v>0</v>
      </c>
      <c r="EM37" s="26">
        <f t="shared" si="73"/>
        <v>0</v>
      </c>
      <c r="EN37" s="26">
        <f t="shared" si="73"/>
        <v>0</v>
      </c>
      <c r="EO37" s="26">
        <f t="shared" si="73"/>
        <v>0</v>
      </c>
      <c r="EP37" s="26">
        <f t="shared" si="73"/>
        <v>0</v>
      </c>
      <c r="EQ37" s="26">
        <f t="shared" si="73"/>
        <v>0</v>
      </c>
      <c r="ER37" s="26">
        <f t="shared" si="73"/>
        <v>0</v>
      </c>
      <c r="ES37" s="26">
        <f t="shared" si="73"/>
        <v>0</v>
      </c>
      <c r="ET37" s="26">
        <f t="shared" si="73"/>
        <v>0</v>
      </c>
      <c r="EU37" s="26">
        <f t="shared" si="73"/>
        <v>0</v>
      </c>
      <c r="EV37" s="26">
        <f t="shared" si="73"/>
        <v>0</v>
      </c>
      <c r="EW37" s="26">
        <f t="shared" si="73"/>
        <v>0</v>
      </c>
      <c r="EX37" s="26">
        <f t="shared" si="73"/>
        <v>0</v>
      </c>
      <c r="EY37" s="26">
        <f t="shared" si="73"/>
        <v>0</v>
      </c>
      <c r="EZ37" s="26">
        <f t="shared" si="73"/>
        <v>0</v>
      </c>
      <c r="FA37" s="26">
        <f t="shared" si="73"/>
        <v>0</v>
      </c>
      <c r="FB37" s="26">
        <f t="shared" si="73"/>
        <v>0</v>
      </c>
      <c r="FC37" s="26">
        <f t="shared" si="73"/>
        <v>0</v>
      </c>
      <c r="FD37" s="26">
        <f t="shared" si="73"/>
        <v>0</v>
      </c>
      <c r="FE37" s="26">
        <f t="shared" si="73"/>
        <v>0</v>
      </c>
      <c r="FF37" s="26">
        <f t="shared" si="73"/>
        <v>0</v>
      </c>
      <c r="FG37" s="26">
        <f t="shared" si="73"/>
        <v>0</v>
      </c>
      <c r="FH37" s="26">
        <f t="shared" si="73"/>
        <v>0</v>
      </c>
      <c r="FI37" s="26">
        <f t="shared" ref="FI37:FK37" si="74">FI36*((1+FI$7)^(FI$4/252)-1)</f>
        <v>0</v>
      </c>
      <c r="FJ37" s="26">
        <f t="shared" si="74"/>
        <v>0</v>
      </c>
      <c r="FK37" s="26">
        <f t="shared" si="74"/>
        <v>0</v>
      </c>
    </row>
    <row r="38" spans="1:167" hidden="1" outlineLevel="1" x14ac:dyDescent="0.35">
      <c r="B38" s="2" t="s">
        <v>96</v>
      </c>
      <c r="E38" s="26">
        <f>IF(E$2=EOMONTH($C17,$C18),-SUM($E37:E37,$C34)+E29,0)</f>
        <v>0</v>
      </c>
      <c r="F38" s="26">
        <f>IF(F$2=EOMONTH($C17,$C18),-SUM($E37:F37,$C34)+F29,0)</f>
        <v>0</v>
      </c>
      <c r="G38" s="26">
        <f>IF(G$2=EOMONTH($C17,$C18),-SUM($E37:G37,$C34)+G29,0)</f>
        <v>0</v>
      </c>
      <c r="H38" s="26">
        <f>IF(H$2=EOMONTH($C17,$C18),-SUM($E37:H37,$C34)+H29,0)</f>
        <v>0</v>
      </c>
      <c r="I38" s="26">
        <f>IF(I$2=EOMONTH($C17,$C18),-SUM($E37:I37,$C34)+I29,0)</f>
        <v>0</v>
      </c>
      <c r="J38" s="26">
        <f>IF(J$2=EOMONTH($C17,$C18),-SUM($E37:J37,$C34)+J29,0)</f>
        <v>0</v>
      </c>
      <c r="K38" s="26">
        <f>IF(K$2=EOMONTH($C17,$C18),-SUM($E37:K37,$C34)+K29,0)</f>
        <v>0</v>
      </c>
      <c r="L38" s="26">
        <f>IF(L$2=EOMONTH($C17,$C18),-SUM($E37:L37,$C34)+L29,0)</f>
        <v>0</v>
      </c>
      <c r="M38" s="26">
        <f>IF(M$2=EOMONTH($C17,$C18),-SUM($E37:M37,$C34)+M29,0)</f>
        <v>0</v>
      </c>
      <c r="N38" s="26">
        <f>IF(N$2=EOMONTH($C17,$C18),-SUM($E37:N37,$C34)+N29,0)</f>
        <v>0</v>
      </c>
      <c r="O38" s="26">
        <f>IF(O$2=EOMONTH($C17,$C18),-SUM($E37:O37,$C34)+O29,0)</f>
        <v>0</v>
      </c>
      <c r="P38" s="26">
        <f>IF(P$2=EOMONTH($C17,$C18),-SUM($E37:P37,$C34)+P29,0)</f>
        <v>0</v>
      </c>
      <c r="Q38" s="26">
        <f>IF(Q$2=EOMONTH($C17,$C18),-SUM($E37:Q37,$C34)+Q29,0)</f>
        <v>0</v>
      </c>
      <c r="R38" s="26">
        <f>IF(R$2=EOMONTH($C17,$C18),-SUM($E37:R37,$C34)+R29,0)</f>
        <v>0</v>
      </c>
      <c r="S38" s="26">
        <f>IF(S$2=EOMONTH($C17,$C18),-SUM($E37:S37,$C34)+S29,0)</f>
        <v>0</v>
      </c>
      <c r="T38" s="26">
        <f>IF(T$2=EOMONTH($C17,$C18),-SUM($E37:T37,$C34)+T29,0)</f>
        <v>0</v>
      </c>
      <c r="U38" s="26">
        <f>IF(U$2=EOMONTH($C17,$C18),-SUM($E37:U37,$C34)+U29,0)</f>
        <v>0</v>
      </c>
      <c r="V38" s="26">
        <f>IF(V$2=EOMONTH($C17,$C18),-SUM($E37:V37,$C34)+V29,0)</f>
        <v>0</v>
      </c>
      <c r="W38" s="26">
        <f>IF(W$2=EOMONTH($C17,$C18),-SUM($E37:W37,$C34)+W29,0)</f>
        <v>0</v>
      </c>
      <c r="X38" s="26">
        <f>IF(X$2=EOMONTH($C17,$C18),-SUM($E37:X37,$C34)+X29,0)</f>
        <v>0</v>
      </c>
      <c r="Y38" s="26">
        <f>IF(Y$2=EOMONTH($C17,$C18),-SUM($E37:Y37,$C34)+Y29,0)</f>
        <v>0</v>
      </c>
      <c r="Z38" s="26">
        <f>IF(Z$2=EOMONTH($C17,$C18),-SUM($E37:Z37,$C34)+Z29,0)</f>
        <v>0</v>
      </c>
      <c r="AA38" s="26">
        <f>IF(AA$2=EOMONTH($C17,$C18),-SUM($E37:AA37,$C34)+AA29,0)</f>
        <v>0</v>
      </c>
      <c r="AB38" s="26">
        <f>IF(AB$2=EOMONTH($C17,$C18),-SUM($E37:AB37,$C34)+AB29,0)</f>
        <v>0</v>
      </c>
      <c r="AC38" s="26">
        <f>IF(AC$2=EOMONTH($C17,$C18),-SUM($E37:AC37,$C34)+AC29,0)</f>
        <v>0</v>
      </c>
      <c r="AD38" s="26">
        <f>IF(AD$2=EOMONTH($C17,$C18),-SUM($E37:AD37,$C34)+AD29,0)</f>
        <v>0</v>
      </c>
      <c r="AE38" s="26">
        <f>IF(AE$2=EOMONTH($C17,$C18),-SUM($E37:AE37,$C34)+AE29,0)</f>
        <v>0</v>
      </c>
      <c r="AF38" s="26">
        <f>IF(AF$2=EOMONTH($C17,$C18),-SUM($E37:AF37,$C34)+AF29,0)</f>
        <v>0</v>
      </c>
      <c r="AG38" s="26">
        <f>IF(AG$2=EOMONTH($C17,$C18),-SUM($E37:AG37,$C34)+AG29,0)</f>
        <v>0</v>
      </c>
      <c r="AH38" s="26">
        <f>IF(AH$2=EOMONTH($C17,$C18),-SUM($E37:AH37,$C34)+AH29,0)</f>
        <v>0</v>
      </c>
      <c r="AI38" s="26">
        <f>IF(AI$2=EOMONTH($C17,$C18),-SUM($E37:AI37,$C34)+AI29,0)</f>
        <v>0</v>
      </c>
      <c r="AJ38" s="26">
        <f>IF(AJ$2=EOMONTH($C17,$C18),-SUM($E37:AJ37,$C34)+AJ29,0)</f>
        <v>0</v>
      </c>
      <c r="AK38" s="26">
        <f>IF(AK$2=EOMONTH($C17,$C18),-SUM($E37:AK37,$C34)+AK29,0)</f>
        <v>0</v>
      </c>
      <c r="AL38" s="26">
        <f>IF(AL$2=EOMONTH($C17,$C18),-SUM($E37:AL37,$C34)+AL29,0)</f>
        <v>0</v>
      </c>
      <c r="AM38" s="26">
        <f>IF(AM$2=EOMONTH($C17,$C18),-SUM($E37:AM37,$C34)+AM29,0)</f>
        <v>0</v>
      </c>
      <c r="AN38" s="26">
        <f>IF(AN$2=EOMONTH($C17,$C18),-SUM($E37:AN37,$C34)+AN29,0)</f>
        <v>0</v>
      </c>
      <c r="AO38" s="26">
        <f>IF(AO$2=EOMONTH($C17,$C18),-SUM($E37:AO37,$C34)+AO29,0)</f>
        <v>0</v>
      </c>
      <c r="AP38" s="26">
        <f>IF(AP$2=EOMONTH($C17,$C18),-SUM($E37:AP37,$C34)+AP29,0)</f>
        <v>0</v>
      </c>
      <c r="AQ38" s="26">
        <f>IF(AQ$2=EOMONTH($C17,$C18),-SUM($E37:AQ37,$C34)+AQ29,0)</f>
        <v>0</v>
      </c>
      <c r="AR38" s="26">
        <f>IF(AR$2=EOMONTH($C17,$C18),-SUM($E37:AR37,$C34)+AR29,0)</f>
        <v>0</v>
      </c>
      <c r="AS38" s="26">
        <f>IF(AS$2=EOMONTH($C17,$C18),-SUM($E37:AS37,$C34)+AS29,0)</f>
        <v>0</v>
      </c>
      <c r="AT38" s="26">
        <f>IF(AT$2=EOMONTH($C17,$C18),-SUM($E37:AT37,$C34)+AT29,0)</f>
        <v>0</v>
      </c>
      <c r="AU38" s="26">
        <f>IF(AU$2=EOMONTH($C17,$C18),-SUM($E37:AU37,$C34)+AU29,0)</f>
        <v>0</v>
      </c>
      <c r="AV38" s="26">
        <f>IF(AV$2=EOMONTH($C17,$C18),-SUM($E37:AV37,$C34)+AV29,0)</f>
        <v>0</v>
      </c>
      <c r="AW38" s="26">
        <f>IF(AW$2=EOMONTH($C17,$C18),-SUM($E37:AW37,$C34)+AW29,0)</f>
        <v>0</v>
      </c>
      <c r="AX38" s="26">
        <f>IF(AX$2=EOMONTH($C17,$C18),-SUM($E37:AX37,$C34)+AX29,0)</f>
        <v>0</v>
      </c>
      <c r="AY38" s="26">
        <f>IF(AY$2=EOMONTH($C17,$C18),-SUM($E37:AY37,$C34)+AY29,0)</f>
        <v>0</v>
      </c>
      <c r="AZ38" s="26">
        <f>IF(AZ$2=EOMONTH($C17,$C18),-SUM($E37:AZ37,$C34)+AZ29,0)</f>
        <v>0</v>
      </c>
      <c r="BA38" s="26">
        <f>IF(BA$2=EOMONTH($C17,$C18),-SUM($E37:BA37,$C34)+BA29,0)</f>
        <v>0</v>
      </c>
      <c r="BB38" s="26">
        <f>IF(BB$2=EOMONTH($C17,$C18),-SUM($E37:BB37,$C34)+BB29,0)</f>
        <v>0</v>
      </c>
      <c r="BC38" s="26">
        <f>IF(BC$2=EOMONTH($C17,$C18),-SUM($E37:BC37,$C34)+BC29,0)</f>
        <v>0</v>
      </c>
      <c r="BD38" s="26">
        <f>IF(BD$2=EOMONTH($C17,$C18),-SUM($E37:BD37,$C34)+BD29,0)</f>
        <v>0</v>
      </c>
      <c r="BE38" s="26">
        <f>IF(BE$2=EOMONTH($C17,$C18),-SUM($E37:BE37,$C34)+BE29,0)</f>
        <v>0</v>
      </c>
      <c r="BF38" s="26">
        <f>IF(BF$2=EOMONTH($C17,$C18),-SUM($E37:BF37,$C34)+BF29,0)</f>
        <v>0</v>
      </c>
      <c r="BG38" s="26">
        <f>IF(BG$2=EOMONTH($C17,$C18),-SUM($E37:BG37,$C34)+BG29,0)</f>
        <v>0</v>
      </c>
      <c r="BH38" s="26">
        <f>IF(BH$2=EOMONTH($C17,$C18),-SUM($E37:BH37,$C34)+BH29,0)</f>
        <v>0</v>
      </c>
      <c r="BI38" s="26">
        <f>IF(BI$2=EOMONTH($C17,$C18),-SUM($E37:BI37,$C34)+BI29,0)</f>
        <v>0</v>
      </c>
      <c r="BJ38" s="26">
        <f>IF(BJ$2=EOMONTH($C17,$C18),-SUM($E37:BJ37,$C34)+BJ29,0)</f>
        <v>0</v>
      </c>
      <c r="BK38" s="26">
        <f>IF(BK$2=EOMONTH($C17,$C18),-SUM($E37:BK37,$C34)+BK29,0)</f>
        <v>0</v>
      </c>
      <c r="BL38" s="26">
        <f>IF(BL$2=EOMONTH($C17,$C18),-SUM($E37:BL37,$C34)+BL29,0)</f>
        <v>0</v>
      </c>
      <c r="BM38" s="26">
        <f>IF(BM$2=EOMONTH($C17,$C18),-SUM($E37:BM37,$C34)+BM29,0)</f>
        <v>0</v>
      </c>
      <c r="BN38" s="26">
        <f>IF(BN$2=EOMONTH($C17,$C18),-SUM($E37:BN37,$C34)+BN29,0)</f>
        <v>0</v>
      </c>
      <c r="BO38" s="26">
        <f>IF(BO$2=EOMONTH($C17,$C18),-SUM($E37:BO37,$C34)+BO29,0)</f>
        <v>0</v>
      </c>
      <c r="BP38" s="26">
        <f>IF(BP$2=EOMONTH($C17,$C18),-SUM($E37:BP37,$C34)+BP29,0)</f>
        <v>0</v>
      </c>
      <c r="BQ38" s="26">
        <f>IF(BQ$2=EOMONTH($C17,$C18),-SUM($E37:BQ37,$C34)+BQ29,0)</f>
        <v>0</v>
      </c>
      <c r="BR38" s="26">
        <f>IF(BR$2=EOMONTH($C17,$C18),-SUM($E37:BR37,$C34)+BR29,0)</f>
        <v>0</v>
      </c>
      <c r="BS38" s="26">
        <f>IF(BS$2=EOMONTH($C17,$C18),-SUM($E37:BS37,$C34)+BS29,0)</f>
        <v>0</v>
      </c>
      <c r="BT38" s="26">
        <f>IF(BT$2=EOMONTH($C17,$C18),-SUM($E37:BT37,$C34)+BT29,0)</f>
        <v>0</v>
      </c>
      <c r="BU38" s="26">
        <f>IF(BU$2=EOMONTH($C17,$C18),-SUM($E37:BU37,$C34)+BU29,0)</f>
        <v>0</v>
      </c>
      <c r="BV38" s="26">
        <f>IF(BV$2=EOMONTH($C17,$C18),-SUM($E37:BV37,$C34)+BV29,0)</f>
        <v>0</v>
      </c>
      <c r="BW38" s="26">
        <f>IF(BW$2=EOMONTH($C17,$C18),-SUM($E37:BW37,$C34)+BW29,0)</f>
        <v>0</v>
      </c>
      <c r="BX38" s="26">
        <f>IF(BX$2=EOMONTH($C17,$C18),-SUM($E37:BX37,$C34)+BX29,0)</f>
        <v>0</v>
      </c>
      <c r="BY38" s="26">
        <f>IF(BY$2=EOMONTH($C17,$C18),-SUM($E37:BY37,$C34)+BY29,0)</f>
        <v>0</v>
      </c>
      <c r="BZ38" s="26">
        <f>IF(BZ$2=EOMONTH($C17,$C18),-SUM($E37:BZ37,$C34)+BZ29,0)</f>
        <v>0</v>
      </c>
      <c r="CA38" s="26">
        <f>IF(CA$2=EOMONTH($C17,$C18),-SUM($E37:CA37,$C34)+CA29,0)</f>
        <v>0</v>
      </c>
      <c r="CB38" s="26">
        <f>IF(CB$2=EOMONTH($C17,$C18),-SUM($E37:CB37,$C34)+CB29,0)</f>
        <v>0</v>
      </c>
      <c r="CC38" s="26">
        <f>IF(CC$2=EOMONTH($C17,$C18),-SUM($E37:CC37,$C34)+CC29,0)</f>
        <v>0</v>
      </c>
      <c r="CD38" s="26">
        <f>IF(CD$2=EOMONTH($C17,$C18),-SUM($E37:CD37,$C34)+CD29,0)</f>
        <v>0</v>
      </c>
      <c r="CE38" s="26">
        <f>IF(CE$2=EOMONTH($C17,$C18),-SUM($E37:CE37,$C34)+CE29,0)</f>
        <v>0</v>
      </c>
      <c r="CF38" s="26">
        <f>IF(CF$2=EOMONTH($C17,$C18),-SUM($E37:CF37,$C34)+CF29,0)</f>
        <v>0</v>
      </c>
      <c r="CG38" s="26">
        <f>IF(CG$2=EOMONTH($C17,$C18),-SUM($E37:CG37,$C34)+CG29,0)</f>
        <v>0</v>
      </c>
      <c r="CH38" s="26">
        <f>IF(CH$2=EOMONTH($C17,$C18),-SUM($E37:CH37,$C34)+CH29,0)</f>
        <v>0</v>
      </c>
      <c r="CI38" s="26">
        <f>IF(CI$2=EOMONTH($C17,$C18),-SUM($E37:CI37,$C34)+CI29,0)</f>
        <v>0</v>
      </c>
      <c r="CJ38" s="26">
        <f>IF(CJ$2=EOMONTH($C17,$C18),-SUM($E37:CJ37,$C34)+CJ29,0)</f>
        <v>0</v>
      </c>
      <c r="CK38" s="26">
        <f>IF(CK$2=EOMONTH($C17,$C18),-SUM($E37:CK37,$C34)+CK29,0)</f>
        <v>0</v>
      </c>
      <c r="CL38" s="26">
        <f>IF(CL$2=EOMONTH($C17,$C18),-SUM($E37:CL37,$C34)+CL29,0)</f>
        <v>0</v>
      </c>
      <c r="CM38" s="26">
        <f>IF(CM$2=EOMONTH($C17,$C18),-SUM($E37:CM37,$C34)+CM29,0)</f>
        <v>0</v>
      </c>
      <c r="CN38" s="26">
        <f>IF(CN$2=EOMONTH($C17,$C18),-SUM($E37:CN37,$C34)+CN29,0)</f>
        <v>0</v>
      </c>
      <c r="CO38" s="26">
        <f>IF(CO$2=EOMONTH($C17,$C18),-SUM($E37:CO37,$C34)+CO29,0)</f>
        <v>0</v>
      </c>
      <c r="CP38" s="26">
        <f>IF(CP$2=EOMONTH($C17,$C18),-SUM($E37:CP37,$C34)+CP29,0)</f>
        <v>0</v>
      </c>
      <c r="CQ38" s="26">
        <f>IF(CQ$2=EOMONTH($C17,$C18),-SUM($E37:CQ37,$C34)+CQ29,0)</f>
        <v>0</v>
      </c>
      <c r="CR38" s="26">
        <f>IF(CR$2=EOMONTH($C17,$C18),-SUM($E37:CR37,$C34)+CR29,0)</f>
        <v>0</v>
      </c>
      <c r="CS38" s="26">
        <f>IF(CS$2=EOMONTH($C17,$C18),-SUM($E37:CS37,$C34)+CS29,0)</f>
        <v>0</v>
      </c>
      <c r="CT38" s="26">
        <f>IF(CT$2=EOMONTH($C17,$C18),-SUM($E37:CT37,$C34)+CT29,0)</f>
        <v>0</v>
      </c>
      <c r="CU38" s="26">
        <f>IF(CU$2=EOMONTH($C17,$C18),-SUM($E37:CU37,$C34)+CU29,0)</f>
        <v>0</v>
      </c>
      <c r="CV38" s="26">
        <f>IF(CV$2=EOMONTH($C17,$C18),-SUM($E37:CV37,$C34)+CV29,0)</f>
        <v>0</v>
      </c>
      <c r="CW38" s="26">
        <f>IF(CW$2=EOMONTH($C17,$C18),-SUM($E37:CW37,$C34)+CW29,0)</f>
        <v>0</v>
      </c>
      <c r="CX38" s="26">
        <f>IF(CX$2=EOMONTH($C17,$C18),-SUM($E37:CX37,$C34)+CX29,0)</f>
        <v>0</v>
      </c>
      <c r="CY38" s="26">
        <f>IF(CY$2=EOMONTH($C17,$C18),-SUM($E37:CY37,$C34)+CY29,0)</f>
        <v>0</v>
      </c>
      <c r="CZ38" s="26">
        <f>IF(CZ$2=EOMONTH($C17,$C18),-SUM($E37:CZ37,$C34)+CZ29,0)</f>
        <v>0</v>
      </c>
      <c r="DA38" s="26">
        <f>IF(DA$2=EOMONTH($C17,$C18),-SUM($E37:DA37,$C34)+DA29,0)</f>
        <v>0</v>
      </c>
      <c r="DB38" s="26">
        <f>IF(DB$2=EOMONTH($C17,$C18),-SUM($E37:DB37,$C34)+DB29,0)</f>
        <v>0</v>
      </c>
      <c r="DC38" s="26">
        <f>IF(DC$2=EOMONTH($C17,$C18),-SUM($E37:DC37,$C34)+DC29,0)</f>
        <v>0</v>
      </c>
      <c r="DD38" s="26">
        <f>IF(DD$2=EOMONTH($C17,$C18),-SUM($E37:DD37,$C34)+DD29,0)</f>
        <v>0</v>
      </c>
      <c r="DE38" s="26">
        <f>IF(DE$2=EOMONTH($C17,$C18),-SUM($E37:DE37,$C34)+DE29,0)</f>
        <v>0</v>
      </c>
      <c r="DF38" s="26">
        <f>IF(DF$2=EOMONTH($C17,$C18),-SUM($E37:DF37,$C34)+DF29,0)</f>
        <v>0</v>
      </c>
      <c r="DG38" s="26">
        <f>IF(DG$2=EOMONTH($C17,$C18),-SUM($E37:DG37,$C34)+DG29,0)</f>
        <v>0</v>
      </c>
      <c r="DH38" s="26">
        <f>IF(DH$2=EOMONTH($C17,$C18),-SUM($E37:DH37,$C34)+DH29,0)</f>
        <v>0</v>
      </c>
      <c r="DI38" s="26">
        <f>IF(DI$2=EOMONTH($C17,$C18),-SUM($E37:DI37,$C34)+DI29,0)</f>
        <v>0</v>
      </c>
      <c r="DJ38" s="26">
        <f>IF(DJ$2=EOMONTH($C17,$C18),-SUM($E37:DJ37,$C34)+DJ29,0)</f>
        <v>0</v>
      </c>
      <c r="DK38" s="26">
        <f>IF(DK$2=EOMONTH($C17,$C18),-SUM($E37:DK37,$C34)+DK29,0)</f>
        <v>0</v>
      </c>
      <c r="DL38" s="26">
        <f>IF(DL$2=EOMONTH($C17,$C18),-SUM($E37:DL37,$C34)+DL29,0)</f>
        <v>0</v>
      </c>
      <c r="DM38" s="26">
        <f>IF(DM$2=EOMONTH($C17,$C18),-SUM($E37:DM37,$C34)+DM29,0)</f>
        <v>0</v>
      </c>
      <c r="DN38" s="26">
        <f>IF(DN$2=EOMONTH($C17,$C18),-SUM($E37:DN37,$C34)+DN29,0)</f>
        <v>0</v>
      </c>
      <c r="DO38" s="26">
        <f>IF(DO$2=EOMONTH($C17,$C18),-SUM($E37:DO37,$C34)+DO29,0)</f>
        <v>0</v>
      </c>
      <c r="DP38" s="26">
        <f>IF(DP$2=EOMONTH($C17,$C18),-SUM($E37:DP37,$C34)+DP29,0)</f>
        <v>0</v>
      </c>
      <c r="DQ38" s="26">
        <f>IF(DQ$2=EOMONTH($C17,$C18),-SUM($E37:DQ37,$C34)+DQ29,0)</f>
        <v>0</v>
      </c>
      <c r="DR38" s="26">
        <f>IF(DR$2=EOMONTH($C17,$C18),-SUM($E37:DR37,$C34)+DR29,0)</f>
        <v>0</v>
      </c>
      <c r="DS38" s="26">
        <f>IF(DS$2=EOMONTH($C17,$C18),-SUM($E37:DS37,$C34)+DS29,0)</f>
        <v>0</v>
      </c>
      <c r="DT38" s="26">
        <f>IF(DT$2=EOMONTH($C17,$C18),-SUM($E37:DT37,$C34)+DT29,0)</f>
        <v>0</v>
      </c>
      <c r="DU38" s="26">
        <f>IF(DU$2=EOMONTH($C17,$C18),-SUM($E37:DU37,$C34)+DU29,0)</f>
        <v>0</v>
      </c>
      <c r="DV38" s="26">
        <f>IF(DV$2=EOMONTH($C17,$C18),-SUM($E37:DV37,$C34)+DV29,0)</f>
        <v>0</v>
      </c>
      <c r="DW38" s="26">
        <f>IF(DW$2=EOMONTH($C17,$C18),-SUM($E37:DW37,$C34)+DW29,0)</f>
        <v>0</v>
      </c>
      <c r="DX38" s="26">
        <f>IF(DX$2=EOMONTH($C17,$C18),-SUM($E37:DX37,$C34)+DX29,0)</f>
        <v>0</v>
      </c>
      <c r="DY38" s="26">
        <f>IF(DY$2=EOMONTH($C17,$C18),-SUM($E37:DY37,$C34)+DY29,0)</f>
        <v>0</v>
      </c>
      <c r="DZ38" s="26">
        <f>IF(DZ$2=EOMONTH($C17,$C18),-SUM($E37:DZ37,$C34)+DZ29,0)</f>
        <v>0</v>
      </c>
      <c r="EA38" s="26">
        <f>IF(EA$2=EOMONTH($C17,$C18),-SUM($E37:EA37,$C34)+EA29,0)</f>
        <v>0</v>
      </c>
      <c r="EB38" s="26">
        <f>IF(EB$2=EOMONTH($C17,$C18),-SUM($E37:EB37,$C34)+EB29,0)</f>
        <v>0</v>
      </c>
      <c r="EC38" s="26">
        <f>IF(EC$2=EOMONTH($C17,$C18),-SUM($E37:EC37,$C34)+EC29,0)</f>
        <v>0</v>
      </c>
      <c r="ED38" s="26">
        <f>IF(ED$2=EOMONTH($C17,$C18),-SUM($E37:ED37,$C34)+ED29,0)</f>
        <v>0</v>
      </c>
      <c r="EE38" s="26">
        <f>IF(EE$2=EOMONTH($C17,$C18),-SUM($E37:EE37,$C34)+EE29,0)</f>
        <v>0</v>
      </c>
      <c r="EF38" s="26">
        <f>IF(EF$2=EOMONTH($C17,$C18),-SUM($E37:EF37,$C34)+EF29,0)</f>
        <v>0</v>
      </c>
      <c r="EG38" s="26">
        <f>IF(EG$2=EOMONTH($C17,$C18),-SUM($E37:EG37,$C34)+EG29,0)</f>
        <v>0</v>
      </c>
      <c r="EH38" s="26">
        <f>IF(EH$2=EOMONTH($C17,$C18),-SUM($E37:EH37,$C34)+EH29,0)</f>
        <v>0</v>
      </c>
      <c r="EI38" s="26">
        <f>IF(EI$2=EOMONTH($C17,$C18),-SUM($E37:EI37,$C34)+EI29,0)</f>
        <v>0</v>
      </c>
      <c r="EJ38" s="26">
        <f>IF(EJ$2=EOMONTH($C17,$C18),-SUM($E37:EJ37,$C34)+EJ29,0)</f>
        <v>0</v>
      </c>
      <c r="EK38" s="26">
        <f>IF(EK$2=EOMONTH($C17,$C18),-SUM($E37:EK37,$C34)+EK29,0)</f>
        <v>0</v>
      </c>
      <c r="EL38" s="26">
        <f>IF(EL$2=EOMONTH($C17,$C18),-SUM($E37:EL37,$C34)+EL29,0)</f>
        <v>0</v>
      </c>
      <c r="EM38" s="26">
        <f>IF(EM$2=EOMONTH($C17,$C18),-SUM($E37:EM37,$C34)+EM29,0)</f>
        <v>0</v>
      </c>
      <c r="EN38" s="26">
        <f>IF(EN$2=EOMONTH($C17,$C18),-SUM($E37:EN37,$C34)+EN29,0)</f>
        <v>0</v>
      </c>
      <c r="EO38" s="26">
        <f>IF(EO$2=EOMONTH($C17,$C18),-SUM($E37:EO37,$C34)+EO29,0)</f>
        <v>0</v>
      </c>
      <c r="EP38" s="26">
        <f>IF(EP$2=EOMONTH($C17,$C18),-SUM($E37:EP37,$C34)+EP29,0)</f>
        <v>0</v>
      </c>
      <c r="EQ38" s="26">
        <f>IF(EQ$2=EOMONTH($C17,$C18),-SUM($E37:EQ37,$C34)+EQ29,0)</f>
        <v>0</v>
      </c>
      <c r="ER38" s="26">
        <f>IF(ER$2=EOMONTH($C17,$C18),-SUM($E37:ER37,$C34)+ER29,0)</f>
        <v>0</v>
      </c>
      <c r="ES38" s="26">
        <f>IF(ES$2=EOMONTH($C17,$C18),-SUM($E37:ES37,$C34)+ES29,0)</f>
        <v>0</v>
      </c>
      <c r="ET38" s="26">
        <f>IF(ET$2=EOMONTH($C17,$C18),-SUM($E37:ET37,$C34)+ET29,0)</f>
        <v>0</v>
      </c>
      <c r="EU38" s="26">
        <f>IF(EU$2=EOMONTH($C17,$C18),-SUM($E37:EU37,$C34)+EU29,0)</f>
        <v>0</v>
      </c>
      <c r="EV38" s="26">
        <f>IF(EV$2=EOMONTH($C17,$C18),-SUM($E37:EV37,$C34)+EV29,0)</f>
        <v>0</v>
      </c>
      <c r="EW38" s="26">
        <f>IF(EW$2=EOMONTH($C17,$C18),-SUM($E37:EW37,$C34)+EW29,0)</f>
        <v>0</v>
      </c>
      <c r="EX38" s="26">
        <f>IF(EX$2=EOMONTH($C17,$C18),-SUM($E37:EX37,$C34)+EX29,0)</f>
        <v>0</v>
      </c>
      <c r="EY38" s="26">
        <f>IF(EY$2=EOMONTH($C17,$C18),-SUM($E37:EY37,$C34)+EY29,0)</f>
        <v>0</v>
      </c>
      <c r="EZ38" s="26">
        <f>IF(EZ$2=EOMONTH($C17,$C18),-SUM($E37:EZ37,$C34)+EZ29,0)</f>
        <v>0</v>
      </c>
      <c r="FA38" s="26">
        <f>IF(FA$2=EOMONTH($C17,$C18),-SUM($E37:FA37,$C34)+FA29,0)</f>
        <v>0</v>
      </c>
      <c r="FB38" s="26">
        <f>IF(FB$2=EOMONTH($C17,$C18),-SUM($E37:FB37,$C34)+FB29,0)</f>
        <v>0</v>
      </c>
      <c r="FC38" s="26">
        <f>IF(FC$2=EOMONTH($C17,$C18),-SUM($E37:FC37,$C34)+FC29,0)</f>
        <v>0</v>
      </c>
      <c r="FD38" s="26">
        <f>IF(FD$2=EOMONTH($C17,$C18),-SUM($E37:FD37,$C34)+FD29,0)</f>
        <v>0</v>
      </c>
      <c r="FE38" s="26">
        <f>IF(FE$2=EOMONTH($C17,$C18),-SUM($E37:FE37,$C34)+FE29,0)</f>
        <v>0</v>
      </c>
      <c r="FF38" s="26">
        <f>IF(FF$2=EOMONTH($C17,$C18),-SUM($E37:FF37,$C34)+FF29,0)</f>
        <v>0</v>
      </c>
      <c r="FG38" s="26">
        <f>IF(FG$2=EOMONTH($C17,$C18),-SUM($E37:FG37,$C34)+FG29,0)</f>
        <v>0</v>
      </c>
      <c r="FH38" s="26">
        <f>IF(FH$2=EOMONTH($C17,$C18),-SUM($E37:FH37,$C34)+FH29,0)</f>
        <v>0</v>
      </c>
      <c r="FI38" s="26">
        <f>IF(FI$2=EOMONTH($C17,$C18),-SUM($E37:FI37,$C34)+FI29,0)</f>
        <v>0</v>
      </c>
      <c r="FJ38" s="26">
        <f>IF(FJ$2=EOMONTH($C17,$C18),-SUM($E37:FJ37,$C34)+FJ29,0)</f>
        <v>0</v>
      </c>
      <c r="FK38" s="26">
        <f>IF(FK$2=EOMONTH($C17,$C18),-SUM($E37:FK37,$C34)+FK29,0)</f>
        <v>0</v>
      </c>
    </row>
    <row r="39" spans="1:167" hidden="1" outlineLevel="1" x14ac:dyDescent="0.35">
      <c r="B39" s="2" t="s">
        <v>88</v>
      </c>
      <c r="E39" s="26">
        <f t="shared" ref="E39:AJ39" si="75">E29</f>
        <v>0</v>
      </c>
      <c r="F39" s="26">
        <f t="shared" si="75"/>
        <v>0</v>
      </c>
      <c r="G39" s="26">
        <f t="shared" si="75"/>
        <v>0</v>
      </c>
      <c r="H39" s="26">
        <f t="shared" si="75"/>
        <v>0</v>
      </c>
      <c r="I39" s="26">
        <f t="shared" si="75"/>
        <v>0</v>
      </c>
      <c r="J39" s="26">
        <f t="shared" si="75"/>
        <v>0</v>
      </c>
      <c r="K39" s="26">
        <f t="shared" si="75"/>
        <v>0</v>
      </c>
      <c r="L39" s="26">
        <f t="shared" si="75"/>
        <v>0</v>
      </c>
      <c r="M39" s="26">
        <f t="shared" si="75"/>
        <v>0</v>
      </c>
      <c r="N39" s="26">
        <f t="shared" si="75"/>
        <v>0</v>
      </c>
      <c r="O39" s="26">
        <f t="shared" si="75"/>
        <v>0</v>
      </c>
      <c r="P39" s="26">
        <f t="shared" si="75"/>
        <v>0</v>
      </c>
      <c r="Q39" s="26">
        <f t="shared" si="75"/>
        <v>0</v>
      </c>
      <c r="R39" s="26">
        <f t="shared" si="75"/>
        <v>0</v>
      </c>
      <c r="S39" s="26">
        <f t="shared" si="75"/>
        <v>0</v>
      </c>
      <c r="T39" s="26">
        <f t="shared" si="75"/>
        <v>0</v>
      </c>
      <c r="U39" s="26">
        <f t="shared" si="75"/>
        <v>0</v>
      </c>
      <c r="V39" s="26">
        <f t="shared" si="75"/>
        <v>0</v>
      </c>
      <c r="W39" s="26">
        <f t="shared" si="75"/>
        <v>0</v>
      </c>
      <c r="X39" s="26">
        <f t="shared" si="75"/>
        <v>0</v>
      </c>
      <c r="Y39" s="26">
        <f t="shared" si="75"/>
        <v>0</v>
      </c>
      <c r="Z39" s="26">
        <f t="shared" si="75"/>
        <v>0</v>
      </c>
      <c r="AA39" s="26">
        <f t="shared" si="75"/>
        <v>0</v>
      </c>
      <c r="AB39" s="26">
        <f t="shared" si="75"/>
        <v>0</v>
      </c>
      <c r="AC39" s="26">
        <f t="shared" si="75"/>
        <v>0</v>
      </c>
      <c r="AD39" s="26">
        <f t="shared" si="75"/>
        <v>0</v>
      </c>
      <c r="AE39" s="26">
        <f t="shared" si="75"/>
        <v>0</v>
      </c>
      <c r="AF39" s="26">
        <f t="shared" si="75"/>
        <v>0</v>
      </c>
      <c r="AG39" s="26">
        <f t="shared" si="75"/>
        <v>0</v>
      </c>
      <c r="AH39" s="26">
        <f t="shared" si="75"/>
        <v>0</v>
      </c>
      <c r="AI39" s="26">
        <f t="shared" si="75"/>
        <v>0</v>
      </c>
      <c r="AJ39" s="26">
        <f t="shared" si="75"/>
        <v>0</v>
      </c>
      <c r="AK39" s="26">
        <f t="shared" ref="AK39:BP39" si="76">AK29</f>
        <v>0</v>
      </c>
      <c r="AL39" s="26">
        <f t="shared" si="76"/>
        <v>0</v>
      </c>
      <c r="AM39" s="26">
        <f t="shared" si="76"/>
        <v>0</v>
      </c>
      <c r="AN39" s="26">
        <f t="shared" si="76"/>
        <v>0</v>
      </c>
      <c r="AO39" s="26">
        <f t="shared" si="76"/>
        <v>0</v>
      </c>
      <c r="AP39" s="26">
        <f t="shared" si="76"/>
        <v>0</v>
      </c>
      <c r="AQ39" s="26">
        <f t="shared" si="76"/>
        <v>0</v>
      </c>
      <c r="AR39" s="26">
        <f t="shared" si="76"/>
        <v>0</v>
      </c>
      <c r="AS39" s="26">
        <f t="shared" si="76"/>
        <v>0</v>
      </c>
      <c r="AT39" s="26">
        <f t="shared" si="76"/>
        <v>0</v>
      </c>
      <c r="AU39" s="26">
        <f t="shared" si="76"/>
        <v>0</v>
      </c>
      <c r="AV39" s="26">
        <f t="shared" si="76"/>
        <v>0</v>
      </c>
      <c r="AW39" s="26">
        <f t="shared" si="76"/>
        <v>0</v>
      </c>
      <c r="AX39" s="26">
        <f t="shared" si="76"/>
        <v>0</v>
      </c>
      <c r="AY39" s="26">
        <f t="shared" si="76"/>
        <v>0</v>
      </c>
      <c r="AZ39" s="26">
        <f t="shared" si="76"/>
        <v>0</v>
      </c>
      <c r="BA39" s="26">
        <f t="shared" si="76"/>
        <v>0</v>
      </c>
      <c r="BB39" s="26">
        <f t="shared" si="76"/>
        <v>0</v>
      </c>
      <c r="BC39" s="26">
        <f t="shared" si="76"/>
        <v>0</v>
      </c>
      <c r="BD39" s="26">
        <f t="shared" si="76"/>
        <v>0</v>
      </c>
      <c r="BE39" s="26">
        <f t="shared" si="76"/>
        <v>0</v>
      </c>
      <c r="BF39" s="26">
        <f t="shared" si="76"/>
        <v>0</v>
      </c>
      <c r="BG39" s="26">
        <f t="shared" si="76"/>
        <v>0</v>
      </c>
      <c r="BH39" s="26">
        <f t="shared" si="76"/>
        <v>0</v>
      </c>
      <c r="BI39" s="26">
        <f t="shared" si="76"/>
        <v>0</v>
      </c>
      <c r="BJ39" s="26">
        <f t="shared" si="76"/>
        <v>0</v>
      </c>
      <c r="BK39" s="26">
        <f t="shared" si="76"/>
        <v>0</v>
      </c>
      <c r="BL39" s="26">
        <f t="shared" si="76"/>
        <v>0</v>
      </c>
      <c r="BM39" s="26">
        <f t="shared" si="76"/>
        <v>0</v>
      </c>
      <c r="BN39" s="26">
        <f t="shared" si="76"/>
        <v>0</v>
      </c>
      <c r="BO39" s="26">
        <f t="shared" si="76"/>
        <v>0</v>
      </c>
      <c r="BP39" s="26">
        <f t="shared" si="76"/>
        <v>0</v>
      </c>
      <c r="BQ39" s="26">
        <f t="shared" ref="BQ39:CV39" si="77">BQ29</f>
        <v>0</v>
      </c>
      <c r="BR39" s="26">
        <f t="shared" si="77"/>
        <v>0</v>
      </c>
      <c r="BS39" s="26">
        <f t="shared" si="77"/>
        <v>0</v>
      </c>
      <c r="BT39" s="26">
        <f t="shared" si="77"/>
        <v>0</v>
      </c>
      <c r="BU39" s="26">
        <f t="shared" si="77"/>
        <v>0</v>
      </c>
      <c r="BV39" s="26">
        <f t="shared" si="77"/>
        <v>0</v>
      </c>
      <c r="BW39" s="26">
        <f t="shared" si="77"/>
        <v>0</v>
      </c>
      <c r="BX39" s="26">
        <f t="shared" si="77"/>
        <v>0</v>
      </c>
      <c r="BY39" s="26">
        <f t="shared" si="77"/>
        <v>0</v>
      </c>
      <c r="BZ39" s="26">
        <f t="shared" si="77"/>
        <v>0</v>
      </c>
      <c r="CA39" s="26">
        <f t="shared" si="77"/>
        <v>0</v>
      </c>
      <c r="CB39" s="26">
        <f t="shared" si="77"/>
        <v>0</v>
      </c>
      <c r="CC39" s="26">
        <f t="shared" si="77"/>
        <v>0</v>
      </c>
      <c r="CD39" s="26">
        <f t="shared" si="77"/>
        <v>0</v>
      </c>
      <c r="CE39" s="26">
        <f t="shared" si="77"/>
        <v>0</v>
      </c>
      <c r="CF39" s="26">
        <f t="shared" si="77"/>
        <v>0</v>
      </c>
      <c r="CG39" s="26">
        <f t="shared" si="77"/>
        <v>0</v>
      </c>
      <c r="CH39" s="26">
        <f t="shared" si="77"/>
        <v>0</v>
      </c>
      <c r="CI39" s="26">
        <f t="shared" si="77"/>
        <v>0</v>
      </c>
      <c r="CJ39" s="26">
        <f t="shared" si="77"/>
        <v>0</v>
      </c>
      <c r="CK39" s="26">
        <f t="shared" si="77"/>
        <v>0</v>
      </c>
      <c r="CL39" s="26">
        <f t="shared" si="77"/>
        <v>0</v>
      </c>
      <c r="CM39" s="26">
        <f t="shared" si="77"/>
        <v>0</v>
      </c>
      <c r="CN39" s="26">
        <f t="shared" si="77"/>
        <v>0</v>
      </c>
      <c r="CO39" s="26">
        <f t="shared" si="77"/>
        <v>0</v>
      </c>
      <c r="CP39" s="26">
        <f t="shared" si="77"/>
        <v>0</v>
      </c>
      <c r="CQ39" s="26">
        <f t="shared" si="77"/>
        <v>0</v>
      </c>
      <c r="CR39" s="26">
        <f t="shared" si="77"/>
        <v>0</v>
      </c>
      <c r="CS39" s="26">
        <f t="shared" si="77"/>
        <v>0</v>
      </c>
      <c r="CT39" s="26">
        <f t="shared" si="77"/>
        <v>0</v>
      </c>
      <c r="CU39" s="26">
        <f t="shared" si="77"/>
        <v>0</v>
      </c>
      <c r="CV39" s="26">
        <f t="shared" si="77"/>
        <v>0</v>
      </c>
      <c r="CW39" s="26">
        <f t="shared" ref="CW39:EB39" si="78">CW29</f>
        <v>0</v>
      </c>
      <c r="CX39" s="26">
        <f t="shared" si="78"/>
        <v>0</v>
      </c>
      <c r="CY39" s="26">
        <f t="shared" si="78"/>
        <v>0</v>
      </c>
      <c r="CZ39" s="26">
        <f t="shared" si="78"/>
        <v>0</v>
      </c>
      <c r="DA39" s="26">
        <f t="shared" si="78"/>
        <v>0</v>
      </c>
      <c r="DB39" s="26">
        <f t="shared" si="78"/>
        <v>0</v>
      </c>
      <c r="DC39" s="26">
        <f t="shared" si="78"/>
        <v>0</v>
      </c>
      <c r="DD39" s="26">
        <f t="shared" si="78"/>
        <v>0</v>
      </c>
      <c r="DE39" s="26">
        <f t="shared" si="78"/>
        <v>0</v>
      </c>
      <c r="DF39" s="26">
        <f t="shared" si="78"/>
        <v>0</v>
      </c>
      <c r="DG39" s="26">
        <f t="shared" si="78"/>
        <v>0</v>
      </c>
      <c r="DH39" s="26">
        <f t="shared" si="78"/>
        <v>0</v>
      </c>
      <c r="DI39" s="26">
        <f t="shared" si="78"/>
        <v>0</v>
      </c>
      <c r="DJ39" s="26">
        <f t="shared" si="78"/>
        <v>0</v>
      </c>
      <c r="DK39" s="26">
        <f t="shared" si="78"/>
        <v>0</v>
      </c>
      <c r="DL39" s="26">
        <f t="shared" si="78"/>
        <v>0</v>
      </c>
      <c r="DM39" s="26">
        <f t="shared" si="78"/>
        <v>0</v>
      </c>
      <c r="DN39" s="26">
        <f t="shared" si="78"/>
        <v>0</v>
      </c>
      <c r="DO39" s="26">
        <f t="shared" si="78"/>
        <v>0</v>
      </c>
      <c r="DP39" s="26">
        <f t="shared" si="78"/>
        <v>0</v>
      </c>
      <c r="DQ39" s="26">
        <f t="shared" si="78"/>
        <v>0</v>
      </c>
      <c r="DR39" s="26">
        <f t="shared" si="78"/>
        <v>0</v>
      </c>
      <c r="DS39" s="26">
        <f t="shared" si="78"/>
        <v>0</v>
      </c>
      <c r="DT39" s="26">
        <f t="shared" si="78"/>
        <v>0</v>
      </c>
      <c r="DU39" s="26">
        <f t="shared" si="78"/>
        <v>0</v>
      </c>
      <c r="DV39" s="26">
        <f t="shared" si="78"/>
        <v>0</v>
      </c>
      <c r="DW39" s="26">
        <f t="shared" si="78"/>
        <v>0</v>
      </c>
      <c r="DX39" s="26">
        <f t="shared" si="78"/>
        <v>0</v>
      </c>
      <c r="DY39" s="26">
        <f t="shared" si="78"/>
        <v>0</v>
      </c>
      <c r="DZ39" s="26">
        <f t="shared" si="78"/>
        <v>0</v>
      </c>
      <c r="EA39" s="26">
        <f t="shared" si="78"/>
        <v>0</v>
      </c>
      <c r="EB39" s="26">
        <f t="shared" si="78"/>
        <v>0</v>
      </c>
      <c r="EC39" s="26">
        <f t="shared" ref="EC39:FK39" si="79">EC29</f>
        <v>0</v>
      </c>
      <c r="ED39" s="26">
        <f t="shared" si="79"/>
        <v>0</v>
      </c>
      <c r="EE39" s="26">
        <f t="shared" si="79"/>
        <v>0</v>
      </c>
      <c r="EF39" s="26">
        <f t="shared" si="79"/>
        <v>0</v>
      </c>
      <c r="EG39" s="26">
        <f t="shared" si="79"/>
        <v>0</v>
      </c>
      <c r="EH39" s="26">
        <f t="shared" si="79"/>
        <v>0</v>
      </c>
      <c r="EI39" s="26">
        <f t="shared" si="79"/>
        <v>0</v>
      </c>
      <c r="EJ39" s="26">
        <f t="shared" si="79"/>
        <v>0</v>
      </c>
      <c r="EK39" s="26">
        <f t="shared" si="79"/>
        <v>0</v>
      </c>
      <c r="EL39" s="26">
        <f t="shared" si="79"/>
        <v>0</v>
      </c>
      <c r="EM39" s="26">
        <f t="shared" si="79"/>
        <v>0</v>
      </c>
      <c r="EN39" s="26">
        <f t="shared" si="79"/>
        <v>0</v>
      </c>
      <c r="EO39" s="26">
        <f t="shared" si="79"/>
        <v>0</v>
      </c>
      <c r="EP39" s="26">
        <f t="shared" si="79"/>
        <v>0</v>
      </c>
      <c r="EQ39" s="26">
        <f t="shared" si="79"/>
        <v>0</v>
      </c>
      <c r="ER39" s="26">
        <f t="shared" si="79"/>
        <v>0</v>
      </c>
      <c r="ES39" s="26">
        <f t="shared" si="79"/>
        <v>0</v>
      </c>
      <c r="ET39" s="26">
        <f t="shared" si="79"/>
        <v>0</v>
      </c>
      <c r="EU39" s="26">
        <f t="shared" si="79"/>
        <v>0</v>
      </c>
      <c r="EV39" s="26">
        <f t="shared" si="79"/>
        <v>0</v>
      </c>
      <c r="EW39" s="26">
        <f t="shared" si="79"/>
        <v>0</v>
      </c>
      <c r="EX39" s="26">
        <f t="shared" si="79"/>
        <v>0</v>
      </c>
      <c r="EY39" s="26">
        <f t="shared" si="79"/>
        <v>0</v>
      </c>
      <c r="EZ39" s="26">
        <f t="shared" si="79"/>
        <v>0</v>
      </c>
      <c r="FA39" s="26">
        <f t="shared" si="79"/>
        <v>0</v>
      </c>
      <c r="FB39" s="26">
        <f t="shared" si="79"/>
        <v>0</v>
      </c>
      <c r="FC39" s="26">
        <f t="shared" si="79"/>
        <v>0</v>
      </c>
      <c r="FD39" s="26">
        <f t="shared" si="79"/>
        <v>0</v>
      </c>
      <c r="FE39" s="26">
        <f t="shared" si="79"/>
        <v>0</v>
      </c>
      <c r="FF39" s="26">
        <f t="shared" si="79"/>
        <v>0</v>
      </c>
      <c r="FG39" s="26">
        <f t="shared" si="79"/>
        <v>0</v>
      </c>
      <c r="FH39" s="26">
        <f t="shared" si="79"/>
        <v>0</v>
      </c>
      <c r="FI39" s="26">
        <f t="shared" si="79"/>
        <v>0</v>
      </c>
      <c r="FJ39" s="26">
        <f t="shared" si="79"/>
        <v>0</v>
      </c>
      <c r="FK39" s="26">
        <f t="shared" si="79"/>
        <v>0</v>
      </c>
    </row>
    <row r="40" spans="1:167" hidden="1" outlineLevel="1" x14ac:dyDescent="0.35">
      <c r="B40" s="2" t="s">
        <v>97</v>
      </c>
      <c r="E40" s="26">
        <f t="shared" ref="E40:AJ40" si="80">E36+E37+E38-E39</f>
        <v>0</v>
      </c>
      <c r="F40" s="26">
        <f t="shared" si="80"/>
        <v>0</v>
      </c>
      <c r="G40" s="26">
        <f t="shared" si="80"/>
        <v>0</v>
      </c>
      <c r="H40" s="26">
        <f t="shared" si="80"/>
        <v>0</v>
      </c>
      <c r="I40" s="26">
        <f t="shared" si="80"/>
        <v>0</v>
      </c>
      <c r="J40" s="26">
        <f t="shared" si="80"/>
        <v>0</v>
      </c>
      <c r="K40" s="26">
        <f t="shared" si="80"/>
        <v>0</v>
      </c>
      <c r="L40" s="26">
        <f t="shared" si="80"/>
        <v>0</v>
      </c>
      <c r="M40" s="26">
        <f t="shared" si="80"/>
        <v>0</v>
      </c>
      <c r="N40" s="26">
        <f t="shared" si="80"/>
        <v>0</v>
      </c>
      <c r="O40" s="26">
        <f t="shared" si="80"/>
        <v>0</v>
      </c>
      <c r="P40" s="26">
        <f t="shared" si="80"/>
        <v>0</v>
      </c>
      <c r="Q40" s="26">
        <f t="shared" si="80"/>
        <v>0</v>
      </c>
      <c r="R40" s="26">
        <f t="shared" si="80"/>
        <v>0</v>
      </c>
      <c r="S40" s="26">
        <f t="shared" si="80"/>
        <v>0</v>
      </c>
      <c r="T40" s="26">
        <f t="shared" si="80"/>
        <v>0</v>
      </c>
      <c r="U40" s="26">
        <f t="shared" si="80"/>
        <v>0</v>
      </c>
      <c r="V40" s="26">
        <f t="shared" si="80"/>
        <v>0</v>
      </c>
      <c r="W40" s="26">
        <f t="shared" si="80"/>
        <v>0</v>
      </c>
      <c r="X40" s="26">
        <f t="shared" si="80"/>
        <v>0</v>
      </c>
      <c r="Y40" s="26">
        <f t="shared" si="80"/>
        <v>0</v>
      </c>
      <c r="Z40" s="26">
        <f t="shared" si="80"/>
        <v>0</v>
      </c>
      <c r="AA40" s="26">
        <f t="shared" si="80"/>
        <v>0</v>
      </c>
      <c r="AB40" s="26">
        <f t="shared" si="80"/>
        <v>0</v>
      </c>
      <c r="AC40" s="26">
        <f t="shared" si="80"/>
        <v>0</v>
      </c>
      <c r="AD40" s="26">
        <f t="shared" si="80"/>
        <v>0</v>
      </c>
      <c r="AE40" s="26">
        <f t="shared" si="80"/>
        <v>0</v>
      </c>
      <c r="AF40" s="26">
        <f t="shared" si="80"/>
        <v>0</v>
      </c>
      <c r="AG40" s="26">
        <f t="shared" si="80"/>
        <v>0</v>
      </c>
      <c r="AH40" s="26">
        <f t="shared" si="80"/>
        <v>0</v>
      </c>
      <c r="AI40" s="26">
        <f t="shared" si="80"/>
        <v>0</v>
      </c>
      <c r="AJ40" s="26">
        <f t="shared" si="80"/>
        <v>0</v>
      </c>
      <c r="AK40" s="26">
        <f t="shared" ref="AK40:BP40" si="81">AK36+AK37+AK38-AK39</f>
        <v>0</v>
      </c>
      <c r="AL40" s="26">
        <f t="shared" si="81"/>
        <v>0</v>
      </c>
      <c r="AM40" s="26">
        <f t="shared" si="81"/>
        <v>0</v>
      </c>
      <c r="AN40" s="26">
        <f t="shared" si="81"/>
        <v>0</v>
      </c>
      <c r="AO40" s="26">
        <f t="shared" si="81"/>
        <v>0</v>
      </c>
      <c r="AP40" s="26">
        <f t="shared" si="81"/>
        <v>0</v>
      </c>
      <c r="AQ40" s="26">
        <f t="shared" si="81"/>
        <v>0</v>
      </c>
      <c r="AR40" s="26">
        <f t="shared" si="81"/>
        <v>0</v>
      </c>
      <c r="AS40" s="26">
        <f t="shared" si="81"/>
        <v>0</v>
      </c>
      <c r="AT40" s="26">
        <f t="shared" si="81"/>
        <v>0</v>
      </c>
      <c r="AU40" s="26">
        <f t="shared" si="81"/>
        <v>0</v>
      </c>
      <c r="AV40" s="26">
        <f t="shared" si="81"/>
        <v>0</v>
      </c>
      <c r="AW40" s="26">
        <f t="shared" si="81"/>
        <v>0</v>
      </c>
      <c r="AX40" s="26">
        <f t="shared" si="81"/>
        <v>0</v>
      </c>
      <c r="AY40" s="26">
        <f t="shared" si="81"/>
        <v>0</v>
      </c>
      <c r="AZ40" s="26">
        <f t="shared" si="81"/>
        <v>0</v>
      </c>
      <c r="BA40" s="26">
        <f t="shared" si="81"/>
        <v>0</v>
      </c>
      <c r="BB40" s="26">
        <f t="shared" si="81"/>
        <v>0</v>
      </c>
      <c r="BC40" s="26">
        <f t="shared" si="81"/>
        <v>0</v>
      </c>
      <c r="BD40" s="26">
        <f t="shared" si="81"/>
        <v>0</v>
      </c>
      <c r="BE40" s="26">
        <f t="shared" si="81"/>
        <v>0</v>
      </c>
      <c r="BF40" s="26">
        <f t="shared" si="81"/>
        <v>0</v>
      </c>
      <c r="BG40" s="26">
        <f t="shared" si="81"/>
        <v>0</v>
      </c>
      <c r="BH40" s="26">
        <f t="shared" si="81"/>
        <v>0</v>
      </c>
      <c r="BI40" s="26">
        <f t="shared" si="81"/>
        <v>0</v>
      </c>
      <c r="BJ40" s="26">
        <f t="shared" si="81"/>
        <v>0</v>
      </c>
      <c r="BK40" s="26">
        <f t="shared" si="81"/>
        <v>0</v>
      </c>
      <c r="BL40" s="26">
        <f t="shared" si="81"/>
        <v>0</v>
      </c>
      <c r="BM40" s="26">
        <f t="shared" si="81"/>
        <v>0</v>
      </c>
      <c r="BN40" s="26">
        <f t="shared" si="81"/>
        <v>0</v>
      </c>
      <c r="BO40" s="26">
        <f t="shared" si="81"/>
        <v>0</v>
      </c>
      <c r="BP40" s="26">
        <f t="shared" si="81"/>
        <v>0</v>
      </c>
      <c r="BQ40" s="26">
        <f t="shared" ref="BQ40:CV40" si="82">BQ36+BQ37+BQ38-BQ39</f>
        <v>0</v>
      </c>
      <c r="BR40" s="26">
        <f t="shared" si="82"/>
        <v>0</v>
      </c>
      <c r="BS40" s="26">
        <f t="shared" si="82"/>
        <v>0</v>
      </c>
      <c r="BT40" s="26">
        <f t="shared" si="82"/>
        <v>0</v>
      </c>
      <c r="BU40" s="26">
        <f t="shared" si="82"/>
        <v>0</v>
      </c>
      <c r="BV40" s="26">
        <f t="shared" si="82"/>
        <v>0</v>
      </c>
      <c r="BW40" s="26">
        <f t="shared" si="82"/>
        <v>0</v>
      </c>
      <c r="BX40" s="26">
        <f t="shared" si="82"/>
        <v>0</v>
      </c>
      <c r="BY40" s="26">
        <f t="shared" si="82"/>
        <v>0</v>
      </c>
      <c r="BZ40" s="26">
        <f t="shared" si="82"/>
        <v>0</v>
      </c>
      <c r="CA40" s="26">
        <f t="shared" si="82"/>
        <v>0</v>
      </c>
      <c r="CB40" s="26">
        <f t="shared" si="82"/>
        <v>0</v>
      </c>
      <c r="CC40" s="26">
        <f t="shared" si="82"/>
        <v>0</v>
      </c>
      <c r="CD40" s="26">
        <f t="shared" si="82"/>
        <v>0</v>
      </c>
      <c r="CE40" s="26">
        <f t="shared" si="82"/>
        <v>0</v>
      </c>
      <c r="CF40" s="26">
        <f t="shared" si="82"/>
        <v>0</v>
      </c>
      <c r="CG40" s="26">
        <f t="shared" si="82"/>
        <v>0</v>
      </c>
      <c r="CH40" s="26">
        <f t="shared" si="82"/>
        <v>0</v>
      </c>
      <c r="CI40" s="26">
        <f t="shared" si="82"/>
        <v>0</v>
      </c>
      <c r="CJ40" s="26">
        <f t="shared" si="82"/>
        <v>0</v>
      </c>
      <c r="CK40" s="26">
        <f t="shared" si="82"/>
        <v>0</v>
      </c>
      <c r="CL40" s="26">
        <f t="shared" si="82"/>
        <v>0</v>
      </c>
      <c r="CM40" s="26">
        <f t="shared" si="82"/>
        <v>0</v>
      </c>
      <c r="CN40" s="26">
        <f t="shared" si="82"/>
        <v>0</v>
      </c>
      <c r="CO40" s="26">
        <f t="shared" si="82"/>
        <v>0</v>
      </c>
      <c r="CP40" s="26">
        <f t="shared" si="82"/>
        <v>0</v>
      </c>
      <c r="CQ40" s="26">
        <f t="shared" si="82"/>
        <v>0</v>
      </c>
      <c r="CR40" s="26">
        <f t="shared" si="82"/>
        <v>0</v>
      </c>
      <c r="CS40" s="26">
        <f t="shared" si="82"/>
        <v>0</v>
      </c>
      <c r="CT40" s="26">
        <f t="shared" si="82"/>
        <v>0</v>
      </c>
      <c r="CU40" s="26">
        <f t="shared" si="82"/>
        <v>0</v>
      </c>
      <c r="CV40" s="26">
        <f t="shared" si="82"/>
        <v>0</v>
      </c>
      <c r="CW40" s="26">
        <f t="shared" ref="CW40:EB40" si="83">CW36+CW37+CW38-CW39</f>
        <v>0</v>
      </c>
      <c r="CX40" s="26">
        <f t="shared" si="83"/>
        <v>0</v>
      </c>
      <c r="CY40" s="26">
        <f t="shared" si="83"/>
        <v>0</v>
      </c>
      <c r="CZ40" s="26">
        <f t="shared" si="83"/>
        <v>0</v>
      </c>
      <c r="DA40" s="26">
        <f t="shared" si="83"/>
        <v>0</v>
      </c>
      <c r="DB40" s="26">
        <f t="shared" si="83"/>
        <v>0</v>
      </c>
      <c r="DC40" s="26">
        <f t="shared" si="83"/>
        <v>0</v>
      </c>
      <c r="DD40" s="26">
        <f t="shared" si="83"/>
        <v>0</v>
      </c>
      <c r="DE40" s="26">
        <f t="shared" si="83"/>
        <v>0</v>
      </c>
      <c r="DF40" s="26">
        <f t="shared" si="83"/>
        <v>0</v>
      </c>
      <c r="DG40" s="26">
        <f t="shared" si="83"/>
        <v>0</v>
      </c>
      <c r="DH40" s="26">
        <f t="shared" si="83"/>
        <v>0</v>
      </c>
      <c r="DI40" s="26">
        <f t="shared" si="83"/>
        <v>0</v>
      </c>
      <c r="DJ40" s="26">
        <f t="shared" si="83"/>
        <v>0</v>
      </c>
      <c r="DK40" s="26">
        <f t="shared" si="83"/>
        <v>0</v>
      </c>
      <c r="DL40" s="26">
        <f t="shared" si="83"/>
        <v>0</v>
      </c>
      <c r="DM40" s="26">
        <f t="shared" si="83"/>
        <v>0</v>
      </c>
      <c r="DN40" s="26">
        <f t="shared" si="83"/>
        <v>0</v>
      </c>
      <c r="DO40" s="26">
        <f t="shared" si="83"/>
        <v>0</v>
      </c>
      <c r="DP40" s="26">
        <f t="shared" si="83"/>
        <v>0</v>
      </c>
      <c r="DQ40" s="26">
        <f t="shared" si="83"/>
        <v>0</v>
      </c>
      <c r="DR40" s="26">
        <f t="shared" si="83"/>
        <v>0</v>
      </c>
      <c r="DS40" s="26">
        <f t="shared" si="83"/>
        <v>0</v>
      </c>
      <c r="DT40" s="26">
        <f t="shared" si="83"/>
        <v>0</v>
      </c>
      <c r="DU40" s="26">
        <f t="shared" si="83"/>
        <v>0</v>
      </c>
      <c r="DV40" s="26">
        <f t="shared" si="83"/>
        <v>0</v>
      </c>
      <c r="DW40" s="26">
        <f t="shared" si="83"/>
        <v>0</v>
      </c>
      <c r="DX40" s="26">
        <f t="shared" si="83"/>
        <v>0</v>
      </c>
      <c r="DY40" s="26">
        <f t="shared" si="83"/>
        <v>0</v>
      </c>
      <c r="DZ40" s="26">
        <f t="shared" si="83"/>
        <v>0</v>
      </c>
      <c r="EA40" s="26">
        <f t="shared" si="83"/>
        <v>0</v>
      </c>
      <c r="EB40" s="26">
        <f t="shared" si="83"/>
        <v>0</v>
      </c>
      <c r="EC40" s="26">
        <f t="shared" ref="EC40:FH40" si="84">EC36+EC37+EC38-EC39</f>
        <v>0</v>
      </c>
      <c r="ED40" s="26">
        <f t="shared" si="84"/>
        <v>0</v>
      </c>
      <c r="EE40" s="26">
        <f t="shared" si="84"/>
        <v>0</v>
      </c>
      <c r="EF40" s="26">
        <f t="shared" si="84"/>
        <v>0</v>
      </c>
      <c r="EG40" s="26">
        <f t="shared" si="84"/>
        <v>0</v>
      </c>
      <c r="EH40" s="26">
        <f t="shared" si="84"/>
        <v>0</v>
      </c>
      <c r="EI40" s="26">
        <f t="shared" si="84"/>
        <v>0</v>
      </c>
      <c r="EJ40" s="26">
        <f t="shared" si="84"/>
        <v>0</v>
      </c>
      <c r="EK40" s="26">
        <f t="shared" si="84"/>
        <v>0</v>
      </c>
      <c r="EL40" s="26">
        <f t="shared" si="84"/>
        <v>0</v>
      </c>
      <c r="EM40" s="26">
        <f t="shared" si="84"/>
        <v>0</v>
      </c>
      <c r="EN40" s="26">
        <f t="shared" si="84"/>
        <v>0</v>
      </c>
      <c r="EO40" s="26">
        <f t="shared" si="84"/>
        <v>0</v>
      </c>
      <c r="EP40" s="26">
        <f t="shared" si="84"/>
        <v>0</v>
      </c>
      <c r="EQ40" s="26">
        <f t="shared" si="84"/>
        <v>0</v>
      </c>
      <c r="ER40" s="26">
        <f t="shared" si="84"/>
        <v>0</v>
      </c>
      <c r="ES40" s="26">
        <f t="shared" si="84"/>
        <v>0</v>
      </c>
      <c r="ET40" s="26">
        <f t="shared" si="84"/>
        <v>0</v>
      </c>
      <c r="EU40" s="26">
        <f t="shared" si="84"/>
        <v>0</v>
      </c>
      <c r="EV40" s="26">
        <f t="shared" si="84"/>
        <v>0</v>
      </c>
      <c r="EW40" s="26">
        <f t="shared" si="84"/>
        <v>0</v>
      </c>
      <c r="EX40" s="26">
        <f t="shared" si="84"/>
        <v>0</v>
      </c>
      <c r="EY40" s="26">
        <f t="shared" si="84"/>
        <v>0</v>
      </c>
      <c r="EZ40" s="26">
        <f t="shared" si="84"/>
        <v>0</v>
      </c>
      <c r="FA40" s="26">
        <f t="shared" si="84"/>
        <v>0</v>
      </c>
      <c r="FB40" s="26">
        <f t="shared" si="84"/>
        <v>0</v>
      </c>
      <c r="FC40" s="26">
        <f t="shared" si="84"/>
        <v>0</v>
      </c>
      <c r="FD40" s="26">
        <f t="shared" si="84"/>
        <v>0</v>
      </c>
      <c r="FE40" s="26">
        <f t="shared" si="84"/>
        <v>0</v>
      </c>
      <c r="FF40" s="26">
        <f t="shared" si="84"/>
        <v>0</v>
      </c>
      <c r="FG40" s="26">
        <f t="shared" si="84"/>
        <v>0</v>
      </c>
      <c r="FH40" s="26">
        <f t="shared" si="84"/>
        <v>0</v>
      </c>
      <c r="FI40" s="26">
        <f t="shared" ref="FI40:FK40" si="85">FI36+FI37+FI38-FI39</f>
        <v>0</v>
      </c>
      <c r="FJ40" s="26">
        <f t="shared" si="85"/>
        <v>0</v>
      </c>
      <c r="FK40" s="26">
        <f t="shared" si="85"/>
        <v>0</v>
      </c>
    </row>
    <row r="41" spans="1:167" x14ac:dyDescent="0.35">
      <c r="B41" s="47" t="s">
        <v>98</v>
      </c>
      <c r="C41" s="47"/>
      <c r="D41" s="47"/>
    </row>
    <row r="42" spans="1:167" x14ac:dyDescent="0.35">
      <c r="B42" s="57" t="s">
        <v>99</v>
      </c>
      <c r="C42" s="58" t="e">
        <f>XIRR(E42:FK42,$E$2:$FK$2)</f>
        <v>#NUM!</v>
      </c>
      <c r="D42" s="57"/>
      <c r="E42" s="59">
        <f t="shared" ref="E42:AJ42" si="86">+IF($D$21="Sim",E39*$C$21,E39)-E63-E64-E49*sens_pricef</f>
        <v>0</v>
      </c>
      <c r="F42" s="59">
        <f t="shared" si="86"/>
        <v>0</v>
      </c>
      <c r="G42" s="59">
        <f t="shared" si="86"/>
        <v>0</v>
      </c>
      <c r="H42" s="59">
        <f t="shared" si="86"/>
        <v>0</v>
      </c>
      <c r="I42" s="59">
        <f t="shared" si="86"/>
        <v>0</v>
      </c>
      <c r="J42" s="59">
        <f t="shared" si="86"/>
        <v>0</v>
      </c>
      <c r="K42" s="59">
        <f t="shared" si="86"/>
        <v>0</v>
      </c>
      <c r="L42" s="59">
        <f t="shared" si="86"/>
        <v>0</v>
      </c>
      <c r="M42" s="59">
        <f t="shared" si="86"/>
        <v>0</v>
      </c>
      <c r="N42" s="59">
        <f t="shared" si="86"/>
        <v>0</v>
      </c>
      <c r="O42" s="59">
        <f t="shared" si="86"/>
        <v>0</v>
      </c>
      <c r="P42" s="59">
        <f t="shared" si="86"/>
        <v>0</v>
      </c>
      <c r="Q42" s="59">
        <f t="shared" si="86"/>
        <v>0</v>
      </c>
      <c r="R42" s="59">
        <f t="shared" si="86"/>
        <v>0</v>
      </c>
      <c r="S42" s="59">
        <f t="shared" si="86"/>
        <v>0</v>
      </c>
      <c r="T42" s="59">
        <f t="shared" si="86"/>
        <v>0</v>
      </c>
      <c r="U42" s="59">
        <f t="shared" si="86"/>
        <v>0</v>
      </c>
      <c r="V42" s="59">
        <f t="shared" si="86"/>
        <v>0</v>
      </c>
      <c r="W42" s="59">
        <f t="shared" si="86"/>
        <v>0</v>
      </c>
      <c r="X42" s="59">
        <f t="shared" si="86"/>
        <v>0</v>
      </c>
      <c r="Y42" s="59">
        <f t="shared" si="86"/>
        <v>0</v>
      </c>
      <c r="Z42" s="59">
        <f t="shared" si="86"/>
        <v>0</v>
      </c>
      <c r="AA42" s="59">
        <f t="shared" si="86"/>
        <v>0</v>
      </c>
      <c r="AB42" s="59">
        <f t="shared" si="86"/>
        <v>0</v>
      </c>
      <c r="AC42" s="59">
        <f t="shared" si="86"/>
        <v>0</v>
      </c>
      <c r="AD42" s="59">
        <f t="shared" si="86"/>
        <v>0</v>
      </c>
      <c r="AE42" s="59">
        <f t="shared" si="86"/>
        <v>0</v>
      </c>
      <c r="AF42" s="59">
        <f t="shared" si="86"/>
        <v>0</v>
      </c>
      <c r="AG42" s="59">
        <f t="shared" si="86"/>
        <v>0</v>
      </c>
      <c r="AH42" s="59">
        <f t="shared" si="86"/>
        <v>0</v>
      </c>
      <c r="AI42" s="59">
        <f t="shared" si="86"/>
        <v>0</v>
      </c>
      <c r="AJ42" s="59">
        <f t="shared" si="86"/>
        <v>0</v>
      </c>
      <c r="AK42" s="59">
        <f t="shared" ref="AK42:BP42" si="87">+IF($D$21="Sim",AK39*$C$21,AK39)-AK63-AK64-AK49*sens_pricef</f>
        <v>0</v>
      </c>
      <c r="AL42" s="59">
        <f t="shared" si="87"/>
        <v>0</v>
      </c>
      <c r="AM42" s="59">
        <f t="shared" si="87"/>
        <v>0</v>
      </c>
      <c r="AN42" s="59">
        <f t="shared" si="87"/>
        <v>0</v>
      </c>
      <c r="AO42" s="59">
        <f t="shared" si="87"/>
        <v>0</v>
      </c>
      <c r="AP42" s="59">
        <f t="shared" si="87"/>
        <v>0</v>
      </c>
      <c r="AQ42" s="59">
        <f t="shared" si="87"/>
        <v>0</v>
      </c>
      <c r="AR42" s="59">
        <f t="shared" si="87"/>
        <v>0</v>
      </c>
      <c r="AS42" s="59">
        <f t="shared" si="87"/>
        <v>0</v>
      </c>
      <c r="AT42" s="59">
        <f t="shared" si="87"/>
        <v>0</v>
      </c>
      <c r="AU42" s="59">
        <f t="shared" si="87"/>
        <v>0</v>
      </c>
      <c r="AV42" s="59">
        <f t="shared" si="87"/>
        <v>0</v>
      </c>
      <c r="AW42" s="59">
        <f t="shared" si="87"/>
        <v>0</v>
      </c>
      <c r="AX42" s="59">
        <f t="shared" si="87"/>
        <v>0</v>
      </c>
      <c r="AY42" s="59">
        <f t="shared" si="87"/>
        <v>0</v>
      </c>
      <c r="AZ42" s="59">
        <f t="shared" si="87"/>
        <v>0</v>
      </c>
      <c r="BA42" s="59">
        <f t="shared" si="87"/>
        <v>0</v>
      </c>
      <c r="BB42" s="59">
        <f t="shared" si="87"/>
        <v>0</v>
      </c>
      <c r="BC42" s="59">
        <f t="shared" si="87"/>
        <v>0</v>
      </c>
      <c r="BD42" s="59">
        <f t="shared" si="87"/>
        <v>0</v>
      </c>
      <c r="BE42" s="59">
        <f t="shared" si="87"/>
        <v>0</v>
      </c>
      <c r="BF42" s="59">
        <f t="shared" si="87"/>
        <v>0</v>
      </c>
      <c r="BG42" s="59">
        <f t="shared" si="87"/>
        <v>0</v>
      </c>
      <c r="BH42" s="59">
        <f t="shared" si="87"/>
        <v>0</v>
      </c>
      <c r="BI42" s="59">
        <f t="shared" si="87"/>
        <v>0</v>
      </c>
      <c r="BJ42" s="59">
        <f t="shared" si="87"/>
        <v>0</v>
      </c>
      <c r="BK42" s="59">
        <f t="shared" si="87"/>
        <v>0</v>
      </c>
      <c r="BL42" s="59">
        <f t="shared" si="87"/>
        <v>0</v>
      </c>
      <c r="BM42" s="59">
        <f t="shared" si="87"/>
        <v>0</v>
      </c>
      <c r="BN42" s="59">
        <f t="shared" si="87"/>
        <v>0</v>
      </c>
      <c r="BO42" s="59">
        <f t="shared" si="87"/>
        <v>0</v>
      </c>
      <c r="BP42" s="59">
        <f t="shared" si="87"/>
        <v>0</v>
      </c>
      <c r="BQ42" s="59">
        <f t="shared" ref="BQ42:CV42" si="88">+IF($D$21="Sim",BQ39*$C$21,BQ39)-BQ63-BQ64-BQ49*sens_pricef</f>
        <v>0</v>
      </c>
      <c r="BR42" s="59">
        <f t="shared" si="88"/>
        <v>0</v>
      </c>
      <c r="BS42" s="59">
        <f t="shared" si="88"/>
        <v>0</v>
      </c>
      <c r="BT42" s="59">
        <f t="shared" si="88"/>
        <v>0</v>
      </c>
      <c r="BU42" s="59">
        <f t="shared" si="88"/>
        <v>0</v>
      </c>
      <c r="BV42" s="59">
        <f t="shared" si="88"/>
        <v>0</v>
      </c>
      <c r="BW42" s="59">
        <f t="shared" si="88"/>
        <v>0</v>
      </c>
      <c r="BX42" s="59">
        <f t="shared" si="88"/>
        <v>0</v>
      </c>
      <c r="BY42" s="59">
        <f t="shared" si="88"/>
        <v>0</v>
      </c>
      <c r="BZ42" s="59">
        <f t="shared" si="88"/>
        <v>0</v>
      </c>
      <c r="CA42" s="59">
        <f t="shared" si="88"/>
        <v>0</v>
      </c>
      <c r="CB42" s="59">
        <f t="shared" si="88"/>
        <v>0</v>
      </c>
      <c r="CC42" s="59">
        <f t="shared" si="88"/>
        <v>0</v>
      </c>
      <c r="CD42" s="59">
        <f t="shared" si="88"/>
        <v>0</v>
      </c>
      <c r="CE42" s="59">
        <f t="shared" si="88"/>
        <v>0</v>
      </c>
      <c r="CF42" s="59">
        <f t="shared" si="88"/>
        <v>0</v>
      </c>
      <c r="CG42" s="59">
        <f t="shared" si="88"/>
        <v>0</v>
      </c>
      <c r="CH42" s="59">
        <f t="shared" si="88"/>
        <v>0</v>
      </c>
      <c r="CI42" s="59">
        <f t="shared" si="88"/>
        <v>0</v>
      </c>
      <c r="CJ42" s="59">
        <f t="shared" si="88"/>
        <v>0</v>
      </c>
      <c r="CK42" s="59">
        <f t="shared" si="88"/>
        <v>0</v>
      </c>
      <c r="CL42" s="59">
        <f t="shared" si="88"/>
        <v>0</v>
      </c>
      <c r="CM42" s="59">
        <f t="shared" si="88"/>
        <v>0</v>
      </c>
      <c r="CN42" s="59">
        <f t="shared" si="88"/>
        <v>0</v>
      </c>
      <c r="CO42" s="59">
        <f t="shared" si="88"/>
        <v>0</v>
      </c>
      <c r="CP42" s="59">
        <f t="shared" si="88"/>
        <v>0</v>
      </c>
      <c r="CQ42" s="59">
        <f t="shared" si="88"/>
        <v>0</v>
      </c>
      <c r="CR42" s="59">
        <f t="shared" si="88"/>
        <v>0</v>
      </c>
      <c r="CS42" s="59">
        <f t="shared" si="88"/>
        <v>0</v>
      </c>
      <c r="CT42" s="59">
        <f t="shared" si="88"/>
        <v>0</v>
      </c>
      <c r="CU42" s="59">
        <f t="shared" si="88"/>
        <v>0</v>
      </c>
      <c r="CV42" s="59">
        <f t="shared" si="88"/>
        <v>0</v>
      </c>
      <c r="CW42" s="59">
        <f t="shared" ref="CW42:EB42" si="89">+IF($D$21="Sim",CW39*$C$21,CW39)-CW63-CW64-CW49*sens_pricef</f>
        <v>0</v>
      </c>
      <c r="CX42" s="59">
        <f t="shared" si="89"/>
        <v>0</v>
      </c>
      <c r="CY42" s="59">
        <f t="shared" si="89"/>
        <v>0</v>
      </c>
      <c r="CZ42" s="59">
        <f t="shared" si="89"/>
        <v>0</v>
      </c>
      <c r="DA42" s="59">
        <f t="shared" si="89"/>
        <v>0</v>
      </c>
      <c r="DB42" s="59">
        <f t="shared" si="89"/>
        <v>0</v>
      </c>
      <c r="DC42" s="59">
        <f t="shared" si="89"/>
        <v>0</v>
      </c>
      <c r="DD42" s="59">
        <f t="shared" si="89"/>
        <v>0</v>
      </c>
      <c r="DE42" s="59">
        <f t="shared" si="89"/>
        <v>0</v>
      </c>
      <c r="DF42" s="59">
        <f t="shared" si="89"/>
        <v>0</v>
      </c>
      <c r="DG42" s="59">
        <f t="shared" si="89"/>
        <v>0</v>
      </c>
      <c r="DH42" s="59">
        <f t="shared" si="89"/>
        <v>0</v>
      </c>
      <c r="DI42" s="59">
        <f t="shared" si="89"/>
        <v>0</v>
      </c>
      <c r="DJ42" s="59">
        <f t="shared" si="89"/>
        <v>0</v>
      </c>
      <c r="DK42" s="59">
        <f t="shared" si="89"/>
        <v>0</v>
      </c>
      <c r="DL42" s="59">
        <f t="shared" si="89"/>
        <v>0</v>
      </c>
      <c r="DM42" s="59">
        <f t="shared" si="89"/>
        <v>0</v>
      </c>
      <c r="DN42" s="59">
        <f t="shared" si="89"/>
        <v>0</v>
      </c>
      <c r="DO42" s="59">
        <f t="shared" si="89"/>
        <v>0</v>
      </c>
      <c r="DP42" s="59">
        <f t="shared" si="89"/>
        <v>0</v>
      </c>
      <c r="DQ42" s="59">
        <f t="shared" si="89"/>
        <v>0</v>
      </c>
      <c r="DR42" s="59">
        <f t="shared" si="89"/>
        <v>0</v>
      </c>
      <c r="DS42" s="59">
        <f t="shared" si="89"/>
        <v>0</v>
      </c>
      <c r="DT42" s="59">
        <f t="shared" si="89"/>
        <v>0</v>
      </c>
      <c r="DU42" s="59">
        <f t="shared" si="89"/>
        <v>0</v>
      </c>
      <c r="DV42" s="59">
        <f t="shared" si="89"/>
        <v>0</v>
      </c>
      <c r="DW42" s="59">
        <f t="shared" si="89"/>
        <v>0</v>
      </c>
      <c r="DX42" s="59">
        <f t="shared" si="89"/>
        <v>0</v>
      </c>
      <c r="DY42" s="59">
        <f t="shared" si="89"/>
        <v>0</v>
      </c>
      <c r="DZ42" s="59">
        <f t="shared" si="89"/>
        <v>0</v>
      </c>
      <c r="EA42" s="59">
        <f t="shared" si="89"/>
        <v>0</v>
      </c>
      <c r="EB42" s="59">
        <f t="shared" si="89"/>
        <v>0</v>
      </c>
      <c r="EC42" s="59">
        <f t="shared" ref="EC42:FK42" si="90">+IF($D$21="Sim",EC39*$C$21,EC39)-EC63-EC64-EC49*sens_pricef</f>
        <v>0</v>
      </c>
      <c r="ED42" s="59">
        <f t="shared" si="90"/>
        <v>0</v>
      </c>
      <c r="EE42" s="59">
        <f t="shared" si="90"/>
        <v>0</v>
      </c>
      <c r="EF42" s="59">
        <f t="shared" si="90"/>
        <v>0</v>
      </c>
      <c r="EG42" s="59">
        <f t="shared" si="90"/>
        <v>0</v>
      </c>
      <c r="EH42" s="59">
        <f t="shared" si="90"/>
        <v>0</v>
      </c>
      <c r="EI42" s="59">
        <f t="shared" si="90"/>
        <v>0</v>
      </c>
      <c r="EJ42" s="59">
        <f t="shared" si="90"/>
        <v>0</v>
      </c>
      <c r="EK42" s="59">
        <f t="shared" si="90"/>
        <v>0</v>
      </c>
      <c r="EL42" s="59">
        <f t="shared" si="90"/>
        <v>0</v>
      </c>
      <c r="EM42" s="59">
        <f t="shared" si="90"/>
        <v>0</v>
      </c>
      <c r="EN42" s="59">
        <f t="shared" si="90"/>
        <v>0</v>
      </c>
      <c r="EO42" s="59">
        <f t="shared" si="90"/>
        <v>0</v>
      </c>
      <c r="EP42" s="59">
        <f t="shared" si="90"/>
        <v>0</v>
      </c>
      <c r="EQ42" s="59">
        <f t="shared" si="90"/>
        <v>0</v>
      </c>
      <c r="ER42" s="59">
        <f t="shared" si="90"/>
        <v>0</v>
      </c>
      <c r="ES42" s="59">
        <f t="shared" si="90"/>
        <v>0</v>
      </c>
      <c r="ET42" s="59">
        <f t="shared" si="90"/>
        <v>0</v>
      </c>
      <c r="EU42" s="59">
        <f t="shared" si="90"/>
        <v>0</v>
      </c>
      <c r="EV42" s="59">
        <f t="shared" si="90"/>
        <v>0</v>
      </c>
      <c r="EW42" s="59">
        <f t="shared" si="90"/>
        <v>0</v>
      </c>
      <c r="EX42" s="59">
        <f t="shared" si="90"/>
        <v>0</v>
      </c>
      <c r="EY42" s="59">
        <f t="shared" si="90"/>
        <v>0</v>
      </c>
      <c r="EZ42" s="59">
        <f t="shared" si="90"/>
        <v>0</v>
      </c>
      <c r="FA42" s="59">
        <f t="shared" si="90"/>
        <v>0</v>
      </c>
      <c r="FB42" s="59">
        <f t="shared" si="90"/>
        <v>0</v>
      </c>
      <c r="FC42" s="59">
        <f t="shared" si="90"/>
        <v>0</v>
      </c>
      <c r="FD42" s="59">
        <f t="shared" si="90"/>
        <v>0</v>
      </c>
      <c r="FE42" s="59">
        <f t="shared" si="90"/>
        <v>0</v>
      </c>
      <c r="FF42" s="59">
        <f t="shared" si="90"/>
        <v>0</v>
      </c>
      <c r="FG42" s="59">
        <f t="shared" si="90"/>
        <v>0</v>
      </c>
      <c r="FH42" s="59">
        <f t="shared" si="90"/>
        <v>0</v>
      </c>
      <c r="FI42" s="59">
        <f t="shared" si="90"/>
        <v>0</v>
      </c>
      <c r="FJ42" s="59">
        <f t="shared" si="90"/>
        <v>0</v>
      </c>
      <c r="FK42" s="59">
        <f t="shared" si="90"/>
        <v>0</v>
      </c>
    </row>
    <row r="43" spans="1:167" x14ac:dyDescent="0.35">
      <c r="B43" s="45" t="s">
        <v>26</v>
      </c>
      <c r="C43" s="55"/>
      <c r="D43" s="45"/>
      <c r="E43" s="56">
        <v>1</v>
      </c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56"/>
      <c r="DM43" s="56"/>
      <c r="DN43" s="56"/>
      <c r="DO43" s="56"/>
      <c r="DP43" s="56"/>
      <c r="DQ43" s="56"/>
      <c r="DR43" s="56"/>
      <c r="DS43" s="56"/>
      <c r="DT43" s="56"/>
      <c r="DU43" s="56"/>
      <c r="DV43" s="56"/>
      <c r="DW43" s="56"/>
      <c r="DX43" s="56"/>
      <c r="DY43" s="56"/>
      <c r="DZ43" s="56"/>
      <c r="EA43" s="56"/>
      <c r="EB43" s="56"/>
      <c r="EC43" s="56"/>
      <c r="ED43" s="56"/>
      <c r="EE43" s="56"/>
      <c r="EF43" s="56"/>
      <c r="EG43" s="56"/>
      <c r="EH43" s="56"/>
      <c r="EI43" s="56"/>
      <c r="EJ43" s="56"/>
      <c r="EK43" s="56"/>
      <c r="EL43" s="56"/>
      <c r="EM43" s="56"/>
      <c r="EN43" s="56"/>
      <c r="EO43" s="56"/>
      <c r="EP43" s="56"/>
      <c r="EQ43" s="56"/>
      <c r="ER43" s="56"/>
      <c r="ES43" s="56"/>
      <c r="ET43" s="56"/>
      <c r="EU43" s="56"/>
      <c r="EV43" s="56"/>
      <c r="EW43" s="56"/>
      <c r="EX43" s="56"/>
      <c r="EY43" s="56"/>
      <c r="EZ43" s="56"/>
      <c r="FA43" s="56"/>
      <c r="FB43" s="56"/>
      <c r="FC43" s="56"/>
      <c r="FD43" s="56"/>
      <c r="FE43" s="56"/>
      <c r="FF43" s="56"/>
      <c r="FG43" s="56"/>
      <c r="FH43" s="56"/>
      <c r="FI43" s="56"/>
      <c r="FJ43" s="56"/>
      <c r="FK43" s="56"/>
    </row>
    <row r="44" spans="1:167" x14ac:dyDescent="0.35">
      <c r="A44" s="24" t="s">
        <v>72</v>
      </c>
      <c r="B44" s="2" t="s">
        <v>100</v>
      </c>
    </row>
    <row r="45" spans="1:167" outlineLevel="1" x14ac:dyDescent="0.35">
      <c r="B45" s="2" t="s">
        <v>101</v>
      </c>
      <c r="E45" s="26">
        <f>C34</f>
        <v>0</v>
      </c>
      <c r="F45" s="26">
        <f t="shared" ref="F45:AK45" si="91">E47</f>
        <v>0</v>
      </c>
      <c r="G45" s="26">
        <f t="shared" si="91"/>
        <v>0</v>
      </c>
      <c r="H45" s="26">
        <f t="shared" si="91"/>
        <v>0</v>
      </c>
      <c r="I45" s="26">
        <f t="shared" si="91"/>
        <v>0</v>
      </c>
      <c r="J45" s="26">
        <f t="shared" si="91"/>
        <v>0</v>
      </c>
      <c r="K45" s="26">
        <f t="shared" si="91"/>
        <v>0</v>
      </c>
      <c r="L45" s="26">
        <f t="shared" si="91"/>
        <v>0</v>
      </c>
      <c r="M45" s="26">
        <f t="shared" si="91"/>
        <v>0</v>
      </c>
      <c r="N45" s="26">
        <f t="shared" si="91"/>
        <v>0</v>
      </c>
      <c r="O45" s="26">
        <f t="shared" si="91"/>
        <v>0</v>
      </c>
      <c r="P45" s="26">
        <f t="shared" si="91"/>
        <v>0</v>
      </c>
      <c r="Q45" s="26">
        <f t="shared" si="91"/>
        <v>0</v>
      </c>
      <c r="R45" s="26">
        <f t="shared" si="91"/>
        <v>0</v>
      </c>
      <c r="S45" s="26">
        <f t="shared" si="91"/>
        <v>0</v>
      </c>
      <c r="T45" s="26">
        <f t="shared" si="91"/>
        <v>0</v>
      </c>
      <c r="U45" s="26">
        <f t="shared" si="91"/>
        <v>0</v>
      </c>
      <c r="V45" s="26">
        <f t="shared" si="91"/>
        <v>0</v>
      </c>
      <c r="W45" s="26">
        <f t="shared" si="91"/>
        <v>0</v>
      </c>
      <c r="X45" s="26">
        <f t="shared" si="91"/>
        <v>0</v>
      </c>
      <c r="Y45" s="26">
        <f t="shared" si="91"/>
        <v>0</v>
      </c>
      <c r="Z45" s="26">
        <f t="shared" si="91"/>
        <v>0</v>
      </c>
      <c r="AA45" s="26">
        <f t="shared" si="91"/>
        <v>0</v>
      </c>
      <c r="AB45" s="26">
        <f t="shared" si="91"/>
        <v>0</v>
      </c>
      <c r="AC45" s="26">
        <f t="shared" si="91"/>
        <v>0</v>
      </c>
      <c r="AD45" s="26">
        <f t="shared" si="91"/>
        <v>0</v>
      </c>
      <c r="AE45" s="26">
        <f t="shared" si="91"/>
        <v>0</v>
      </c>
      <c r="AF45" s="26">
        <f t="shared" si="91"/>
        <v>0</v>
      </c>
      <c r="AG45" s="26">
        <f t="shared" si="91"/>
        <v>0</v>
      </c>
      <c r="AH45" s="26">
        <f t="shared" si="91"/>
        <v>0</v>
      </c>
      <c r="AI45" s="26">
        <f t="shared" si="91"/>
        <v>0</v>
      </c>
      <c r="AJ45" s="26">
        <f t="shared" si="91"/>
        <v>0</v>
      </c>
      <c r="AK45" s="26">
        <f t="shared" si="91"/>
        <v>0</v>
      </c>
      <c r="AL45" s="26">
        <f t="shared" ref="AL45:BQ45" si="92">AK47</f>
        <v>0</v>
      </c>
      <c r="AM45" s="26">
        <f t="shared" si="92"/>
        <v>0</v>
      </c>
      <c r="AN45" s="26">
        <f t="shared" si="92"/>
        <v>0</v>
      </c>
      <c r="AO45" s="26">
        <f t="shared" si="92"/>
        <v>0</v>
      </c>
      <c r="AP45" s="26">
        <f t="shared" si="92"/>
        <v>0</v>
      </c>
      <c r="AQ45" s="26">
        <f t="shared" si="92"/>
        <v>0</v>
      </c>
      <c r="AR45" s="26">
        <f t="shared" si="92"/>
        <v>0</v>
      </c>
      <c r="AS45" s="26">
        <f t="shared" si="92"/>
        <v>0</v>
      </c>
      <c r="AT45" s="26">
        <f t="shared" si="92"/>
        <v>0</v>
      </c>
      <c r="AU45" s="26">
        <f t="shared" si="92"/>
        <v>0</v>
      </c>
      <c r="AV45" s="26">
        <f t="shared" si="92"/>
        <v>0</v>
      </c>
      <c r="AW45" s="26">
        <f t="shared" si="92"/>
        <v>0</v>
      </c>
      <c r="AX45" s="26">
        <f t="shared" si="92"/>
        <v>0</v>
      </c>
      <c r="AY45" s="26">
        <f t="shared" si="92"/>
        <v>0</v>
      </c>
      <c r="AZ45" s="26">
        <f t="shared" si="92"/>
        <v>0</v>
      </c>
      <c r="BA45" s="26">
        <f t="shared" si="92"/>
        <v>0</v>
      </c>
      <c r="BB45" s="26">
        <f t="shared" si="92"/>
        <v>0</v>
      </c>
      <c r="BC45" s="26">
        <f t="shared" si="92"/>
        <v>0</v>
      </c>
      <c r="BD45" s="26">
        <f t="shared" si="92"/>
        <v>0</v>
      </c>
      <c r="BE45" s="26">
        <f t="shared" si="92"/>
        <v>0</v>
      </c>
      <c r="BF45" s="26">
        <f t="shared" si="92"/>
        <v>0</v>
      </c>
      <c r="BG45" s="26">
        <f t="shared" si="92"/>
        <v>0</v>
      </c>
      <c r="BH45" s="26">
        <f t="shared" si="92"/>
        <v>0</v>
      </c>
      <c r="BI45" s="26">
        <f t="shared" si="92"/>
        <v>0</v>
      </c>
      <c r="BJ45" s="26">
        <f t="shared" si="92"/>
        <v>0</v>
      </c>
      <c r="BK45" s="26">
        <f t="shared" si="92"/>
        <v>0</v>
      </c>
      <c r="BL45" s="26">
        <f t="shared" si="92"/>
        <v>0</v>
      </c>
      <c r="BM45" s="26">
        <f t="shared" si="92"/>
        <v>0</v>
      </c>
      <c r="BN45" s="26">
        <f t="shared" si="92"/>
        <v>0</v>
      </c>
      <c r="BO45" s="26">
        <f t="shared" si="92"/>
        <v>0</v>
      </c>
      <c r="BP45" s="26">
        <f t="shared" si="92"/>
        <v>0</v>
      </c>
      <c r="BQ45" s="26">
        <f t="shared" si="92"/>
        <v>0</v>
      </c>
      <c r="BR45" s="26">
        <f t="shared" ref="BR45:CW45" si="93">BQ47</f>
        <v>0</v>
      </c>
      <c r="BS45" s="26">
        <f t="shared" si="93"/>
        <v>0</v>
      </c>
      <c r="BT45" s="26">
        <f t="shared" si="93"/>
        <v>0</v>
      </c>
      <c r="BU45" s="26">
        <f t="shared" si="93"/>
        <v>0</v>
      </c>
      <c r="BV45" s="26">
        <f t="shared" si="93"/>
        <v>0</v>
      </c>
      <c r="BW45" s="26">
        <f t="shared" si="93"/>
        <v>0</v>
      </c>
      <c r="BX45" s="26">
        <f t="shared" si="93"/>
        <v>0</v>
      </c>
      <c r="BY45" s="26">
        <f t="shared" si="93"/>
        <v>0</v>
      </c>
      <c r="BZ45" s="26">
        <f t="shared" si="93"/>
        <v>0</v>
      </c>
      <c r="CA45" s="26">
        <f t="shared" si="93"/>
        <v>0</v>
      </c>
      <c r="CB45" s="26">
        <f t="shared" si="93"/>
        <v>0</v>
      </c>
      <c r="CC45" s="26">
        <f t="shared" si="93"/>
        <v>0</v>
      </c>
      <c r="CD45" s="26">
        <f t="shared" si="93"/>
        <v>0</v>
      </c>
      <c r="CE45" s="26">
        <f t="shared" si="93"/>
        <v>0</v>
      </c>
      <c r="CF45" s="26">
        <f t="shared" si="93"/>
        <v>0</v>
      </c>
      <c r="CG45" s="26">
        <f t="shared" si="93"/>
        <v>0</v>
      </c>
      <c r="CH45" s="26">
        <f t="shared" si="93"/>
        <v>0</v>
      </c>
      <c r="CI45" s="26">
        <f t="shared" si="93"/>
        <v>0</v>
      </c>
      <c r="CJ45" s="26">
        <f t="shared" si="93"/>
        <v>0</v>
      </c>
      <c r="CK45" s="26">
        <f t="shared" si="93"/>
        <v>0</v>
      </c>
      <c r="CL45" s="26">
        <f t="shared" si="93"/>
        <v>0</v>
      </c>
      <c r="CM45" s="26">
        <f t="shared" si="93"/>
        <v>0</v>
      </c>
      <c r="CN45" s="26">
        <f t="shared" si="93"/>
        <v>0</v>
      </c>
      <c r="CO45" s="26">
        <f t="shared" si="93"/>
        <v>0</v>
      </c>
      <c r="CP45" s="26">
        <f t="shared" si="93"/>
        <v>0</v>
      </c>
      <c r="CQ45" s="26">
        <f t="shared" si="93"/>
        <v>0</v>
      </c>
      <c r="CR45" s="26">
        <f t="shared" si="93"/>
        <v>0</v>
      </c>
      <c r="CS45" s="26">
        <f t="shared" si="93"/>
        <v>0</v>
      </c>
      <c r="CT45" s="26">
        <f t="shared" si="93"/>
        <v>0</v>
      </c>
      <c r="CU45" s="26">
        <f t="shared" si="93"/>
        <v>0</v>
      </c>
      <c r="CV45" s="26">
        <f t="shared" si="93"/>
        <v>0</v>
      </c>
      <c r="CW45" s="26">
        <f t="shared" si="93"/>
        <v>0</v>
      </c>
      <c r="CX45" s="26">
        <f t="shared" ref="CX45:EC45" si="94">CW47</f>
        <v>0</v>
      </c>
      <c r="CY45" s="26">
        <f t="shared" si="94"/>
        <v>0</v>
      </c>
      <c r="CZ45" s="26">
        <f t="shared" si="94"/>
        <v>0</v>
      </c>
      <c r="DA45" s="26">
        <f t="shared" si="94"/>
        <v>0</v>
      </c>
      <c r="DB45" s="26">
        <f t="shared" si="94"/>
        <v>0</v>
      </c>
      <c r="DC45" s="26">
        <f t="shared" si="94"/>
        <v>0</v>
      </c>
      <c r="DD45" s="26">
        <f t="shared" si="94"/>
        <v>0</v>
      </c>
      <c r="DE45" s="26">
        <f t="shared" si="94"/>
        <v>0</v>
      </c>
      <c r="DF45" s="26">
        <f t="shared" si="94"/>
        <v>0</v>
      </c>
      <c r="DG45" s="26">
        <f t="shared" si="94"/>
        <v>0</v>
      </c>
      <c r="DH45" s="26">
        <f t="shared" si="94"/>
        <v>0</v>
      </c>
      <c r="DI45" s="26">
        <f t="shared" si="94"/>
        <v>0</v>
      </c>
      <c r="DJ45" s="26">
        <f t="shared" si="94"/>
        <v>0</v>
      </c>
      <c r="DK45" s="26">
        <f t="shared" si="94"/>
        <v>0</v>
      </c>
      <c r="DL45" s="26">
        <f t="shared" si="94"/>
        <v>0</v>
      </c>
      <c r="DM45" s="26">
        <f t="shared" si="94"/>
        <v>0</v>
      </c>
      <c r="DN45" s="26">
        <f t="shared" si="94"/>
        <v>0</v>
      </c>
      <c r="DO45" s="26">
        <f t="shared" si="94"/>
        <v>0</v>
      </c>
      <c r="DP45" s="26">
        <f t="shared" si="94"/>
        <v>0</v>
      </c>
      <c r="DQ45" s="26">
        <f t="shared" si="94"/>
        <v>0</v>
      </c>
      <c r="DR45" s="26">
        <f t="shared" si="94"/>
        <v>0</v>
      </c>
      <c r="DS45" s="26">
        <f t="shared" si="94"/>
        <v>0</v>
      </c>
      <c r="DT45" s="26">
        <f t="shared" si="94"/>
        <v>0</v>
      </c>
      <c r="DU45" s="26">
        <f t="shared" si="94"/>
        <v>0</v>
      </c>
      <c r="DV45" s="26">
        <f t="shared" si="94"/>
        <v>0</v>
      </c>
      <c r="DW45" s="26">
        <f t="shared" si="94"/>
        <v>0</v>
      </c>
      <c r="DX45" s="26">
        <f t="shared" si="94"/>
        <v>0</v>
      </c>
      <c r="DY45" s="26">
        <f t="shared" si="94"/>
        <v>0</v>
      </c>
      <c r="DZ45" s="26">
        <f t="shared" si="94"/>
        <v>0</v>
      </c>
      <c r="EA45" s="26">
        <f t="shared" si="94"/>
        <v>0</v>
      </c>
      <c r="EB45" s="26">
        <f t="shared" si="94"/>
        <v>0</v>
      </c>
      <c r="EC45" s="26">
        <f t="shared" si="94"/>
        <v>0</v>
      </c>
      <c r="ED45" s="26">
        <f t="shared" ref="ED45:FK45" si="95">EC47</f>
        <v>0</v>
      </c>
      <c r="EE45" s="26">
        <f t="shared" si="95"/>
        <v>0</v>
      </c>
      <c r="EF45" s="26">
        <f t="shared" si="95"/>
        <v>0</v>
      </c>
      <c r="EG45" s="26">
        <f t="shared" si="95"/>
        <v>0</v>
      </c>
      <c r="EH45" s="26">
        <f t="shared" si="95"/>
        <v>0</v>
      </c>
      <c r="EI45" s="26">
        <f t="shared" si="95"/>
        <v>0</v>
      </c>
      <c r="EJ45" s="26">
        <f t="shared" si="95"/>
        <v>0</v>
      </c>
      <c r="EK45" s="26">
        <f t="shared" si="95"/>
        <v>0</v>
      </c>
      <c r="EL45" s="26">
        <f t="shared" si="95"/>
        <v>0</v>
      </c>
      <c r="EM45" s="26">
        <f t="shared" si="95"/>
        <v>0</v>
      </c>
      <c r="EN45" s="26">
        <f t="shared" si="95"/>
        <v>0</v>
      </c>
      <c r="EO45" s="26">
        <f t="shared" si="95"/>
        <v>0</v>
      </c>
      <c r="EP45" s="26">
        <f t="shared" si="95"/>
        <v>0</v>
      </c>
      <c r="EQ45" s="26">
        <f t="shared" si="95"/>
        <v>0</v>
      </c>
      <c r="ER45" s="26">
        <f t="shared" si="95"/>
        <v>0</v>
      </c>
      <c r="ES45" s="26">
        <f t="shared" si="95"/>
        <v>0</v>
      </c>
      <c r="ET45" s="26">
        <f t="shared" si="95"/>
        <v>0</v>
      </c>
      <c r="EU45" s="26">
        <f t="shared" si="95"/>
        <v>0</v>
      </c>
      <c r="EV45" s="26">
        <f t="shared" si="95"/>
        <v>0</v>
      </c>
      <c r="EW45" s="26">
        <f t="shared" si="95"/>
        <v>0</v>
      </c>
      <c r="EX45" s="26">
        <f t="shared" si="95"/>
        <v>0</v>
      </c>
      <c r="EY45" s="26">
        <f t="shared" si="95"/>
        <v>0</v>
      </c>
      <c r="EZ45" s="26">
        <f t="shared" si="95"/>
        <v>0</v>
      </c>
      <c r="FA45" s="26">
        <f t="shared" si="95"/>
        <v>0</v>
      </c>
      <c r="FB45" s="26">
        <f t="shared" si="95"/>
        <v>0</v>
      </c>
      <c r="FC45" s="26">
        <f t="shared" si="95"/>
        <v>0</v>
      </c>
      <c r="FD45" s="26">
        <f t="shared" si="95"/>
        <v>0</v>
      </c>
      <c r="FE45" s="26">
        <f t="shared" si="95"/>
        <v>0</v>
      </c>
      <c r="FF45" s="26">
        <f t="shared" si="95"/>
        <v>0</v>
      </c>
      <c r="FG45" s="26">
        <f t="shared" si="95"/>
        <v>0</v>
      </c>
      <c r="FH45" s="26">
        <f t="shared" si="95"/>
        <v>0</v>
      </c>
      <c r="FI45" s="26">
        <f t="shared" si="95"/>
        <v>0</v>
      </c>
      <c r="FJ45" s="26">
        <f t="shared" si="95"/>
        <v>0</v>
      </c>
      <c r="FK45" s="26">
        <f t="shared" si="95"/>
        <v>0</v>
      </c>
    </row>
    <row r="46" spans="1:167" outlineLevel="1" x14ac:dyDescent="0.35">
      <c r="B46" s="33" t="s">
        <v>95</v>
      </c>
      <c r="C46" s="66">
        <f>in_eo_spread</f>
        <v>0.15</v>
      </c>
      <c r="D46" s="68" t="str">
        <f>in_eo_idx</f>
        <v>CDI</v>
      </c>
      <c r="E46" s="26">
        <f t="shared" ref="E46:AJ46" si="96">(((1+IF($D$46="Pré",0,INDEX(Ativo,IF($D$46="CDI",6,8),MATCH(E$2,header_ativo,0))))*(1+$C46))^(E$4/252)-1)*E$45</f>
        <v>0</v>
      </c>
      <c r="F46" s="26">
        <f t="shared" si="96"/>
        <v>0</v>
      </c>
      <c r="G46" s="26">
        <f t="shared" si="96"/>
        <v>0</v>
      </c>
      <c r="H46" s="26">
        <f t="shared" si="96"/>
        <v>0</v>
      </c>
      <c r="I46" s="26">
        <f t="shared" si="96"/>
        <v>0</v>
      </c>
      <c r="J46" s="26">
        <f t="shared" si="96"/>
        <v>0</v>
      </c>
      <c r="K46" s="26">
        <f t="shared" si="96"/>
        <v>0</v>
      </c>
      <c r="L46" s="26">
        <f t="shared" si="96"/>
        <v>0</v>
      </c>
      <c r="M46" s="26">
        <f t="shared" si="96"/>
        <v>0</v>
      </c>
      <c r="N46" s="26">
        <f t="shared" si="96"/>
        <v>0</v>
      </c>
      <c r="O46" s="26">
        <f t="shared" si="96"/>
        <v>0</v>
      </c>
      <c r="P46" s="26">
        <f t="shared" si="96"/>
        <v>0</v>
      </c>
      <c r="Q46" s="26">
        <f t="shared" si="96"/>
        <v>0</v>
      </c>
      <c r="R46" s="26">
        <f t="shared" si="96"/>
        <v>0</v>
      </c>
      <c r="S46" s="26">
        <f t="shared" si="96"/>
        <v>0</v>
      </c>
      <c r="T46" s="26">
        <f t="shared" si="96"/>
        <v>0</v>
      </c>
      <c r="U46" s="26">
        <f t="shared" si="96"/>
        <v>0</v>
      </c>
      <c r="V46" s="26">
        <f t="shared" si="96"/>
        <v>0</v>
      </c>
      <c r="W46" s="26">
        <f t="shared" si="96"/>
        <v>0</v>
      </c>
      <c r="X46" s="26">
        <f t="shared" si="96"/>
        <v>0</v>
      </c>
      <c r="Y46" s="26">
        <f t="shared" si="96"/>
        <v>0</v>
      </c>
      <c r="Z46" s="26">
        <f t="shared" si="96"/>
        <v>0</v>
      </c>
      <c r="AA46" s="26">
        <f t="shared" si="96"/>
        <v>0</v>
      </c>
      <c r="AB46" s="26">
        <f t="shared" si="96"/>
        <v>0</v>
      </c>
      <c r="AC46" s="26">
        <f t="shared" si="96"/>
        <v>0</v>
      </c>
      <c r="AD46" s="26">
        <f t="shared" si="96"/>
        <v>0</v>
      </c>
      <c r="AE46" s="26">
        <f t="shared" si="96"/>
        <v>0</v>
      </c>
      <c r="AF46" s="26">
        <f t="shared" si="96"/>
        <v>0</v>
      </c>
      <c r="AG46" s="26">
        <f t="shared" si="96"/>
        <v>0</v>
      </c>
      <c r="AH46" s="26">
        <f t="shared" si="96"/>
        <v>0</v>
      </c>
      <c r="AI46" s="26">
        <f t="shared" si="96"/>
        <v>0</v>
      </c>
      <c r="AJ46" s="26">
        <f t="shared" si="96"/>
        <v>0</v>
      </c>
      <c r="AK46" s="26">
        <f t="shared" ref="AK46:BP46" si="97">(((1+IF($D$46="Pré",0,INDEX(Ativo,IF($D$46="CDI",6,8),MATCH(AK$2,header_ativo,0))))*(1+$C46))^(AK$4/252)-1)*AK$45</f>
        <v>0</v>
      </c>
      <c r="AL46" s="26">
        <f t="shared" si="97"/>
        <v>0</v>
      </c>
      <c r="AM46" s="26">
        <f t="shared" si="97"/>
        <v>0</v>
      </c>
      <c r="AN46" s="26">
        <f t="shared" si="97"/>
        <v>0</v>
      </c>
      <c r="AO46" s="26">
        <f t="shared" si="97"/>
        <v>0</v>
      </c>
      <c r="AP46" s="26">
        <f t="shared" si="97"/>
        <v>0</v>
      </c>
      <c r="AQ46" s="26">
        <f t="shared" si="97"/>
        <v>0</v>
      </c>
      <c r="AR46" s="26">
        <f t="shared" si="97"/>
        <v>0</v>
      </c>
      <c r="AS46" s="26">
        <f t="shared" si="97"/>
        <v>0</v>
      </c>
      <c r="AT46" s="26">
        <f t="shared" si="97"/>
        <v>0</v>
      </c>
      <c r="AU46" s="26">
        <f t="shared" si="97"/>
        <v>0</v>
      </c>
      <c r="AV46" s="26">
        <f t="shared" si="97"/>
        <v>0</v>
      </c>
      <c r="AW46" s="26">
        <f t="shared" si="97"/>
        <v>0</v>
      </c>
      <c r="AX46" s="26">
        <f t="shared" si="97"/>
        <v>0</v>
      </c>
      <c r="AY46" s="26">
        <f t="shared" si="97"/>
        <v>0</v>
      </c>
      <c r="AZ46" s="26">
        <f t="shared" si="97"/>
        <v>0</v>
      </c>
      <c r="BA46" s="26">
        <f t="shared" si="97"/>
        <v>0</v>
      </c>
      <c r="BB46" s="26">
        <f t="shared" si="97"/>
        <v>0</v>
      </c>
      <c r="BC46" s="26">
        <f t="shared" si="97"/>
        <v>0</v>
      </c>
      <c r="BD46" s="26">
        <f t="shared" si="97"/>
        <v>0</v>
      </c>
      <c r="BE46" s="26">
        <f t="shared" si="97"/>
        <v>0</v>
      </c>
      <c r="BF46" s="26">
        <f t="shared" si="97"/>
        <v>0</v>
      </c>
      <c r="BG46" s="26">
        <f t="shared" si="97"/>
        <v>0</v>
      </c>
      <c r="BH46" s="26">
        <f t="shared" si="97"/>
        <v>0</v>
      </c>
      <c r="BI46" s="26">
        <f t="shared" si="97"/>
        <v>0</v>
      </c>
      <c r="BJ46" s="26">
        <f t="shared" si="97"/>
        <v>0</v>
      </c>
      <c r="BK46" s="26">
        <f t="shared" si="97"/>
        <v>0</v>
      </c>
      <c r="BL46" s="26">
        <f t="shared" si="97"/>
        <v>0</v>
      </c>
      <c r="BM46" s="26">
        <f t="shared" si="97"/>
        <v>0</v>
      </c>
      <c r="BN46" s="26">
        <f t="shared" si="97"/>
        <v>0</v>
      </c>
      <c r="BO46" s="26">
        <f t="shared" si="97"/>
        <v>0</v>
      </c>
      <c r="BP46" s="26">
        <f t="shared" si="97"/>
        <v>0</v>
      </c>
      <c r="BQ46" s="26">
        <f t="shared" ref="BQ46:CV46" si="98">(((1+IF($D$46="Pré",0,INDEX(Ativo,IF($D$46="CDI",6,8),MATCH(BQ$2,header_ativo,0))))*(1+$C46))^(BQ$4/252)-1)*BQ$45</f>
        <v>0</v>
      </c>
      <c r="BR46" s="26">
        <f t="shared" si="98"/>
        <v>0</v>
      </c>
      <c r="BS46" s="26">
        <f t="shared" si="98"/>
        <v>0</v>
      </c>
      <c r="BT46" s="26">
        <f t="shared" si="98"/>
        <v>0</v>
      </c>
      <c r="BU46" s="26">
        <f t="shared" si="98"/>
        <v>0</v>
      </c>
      <c r="BV46" s="26">
        <f t="shared" si="98"/>
        <v>0</v>
      </c>
      <c r="BW46" s="26">
        <f t="shared" si="98"/>
        <v>0</v>
      </c>
      <c r="BX46" s="26">
        <f t="shared" si="98"/>
        <v>0</v>
      </c>
      <c r="BY46" s="26">
        <f t="shared" si="98"/>
        <v>0</v>
      </c>
      <c r="BZ46" s="26">
        <f t="shared" si="98"/>
        <v>0</v>
      </c>
      <c r="CA46" s="26">
        <f t="shared" si="98"/>
        <v>0</v>
      </c>
      <c r="CB46" s="26">
        <f t="shared" si="98"/>
        <v>0</v>
      </c>
      <c r="CC46" s="26">
        <f t="shared" si="98"/>
        <v>0</v>
      </c>
      <c r="CD46" s="26">
        <f t="shared" si="98"/>
        <v>0</v>
      </c>
      <c r="CE46" s="26">
        <f t="shared" si="98"/>
        <v>0</v>
      </c>
      <c r="CF46" s="26">
        <f t="shared" si="98"/>
        <v>0</v>
      </c>
      <c r="CG46" s="26">
        <f t="shared" si="98"/>
        <v>0</v>
      </c>
      <c r="CH46" s="26">
        <f t="shared" si="98"/>
        <v>0</v>
      </c>
      <c r="CI46" s="26">
        <f t="shared" si="98"/>
        <v>0</v>
      </c>
      <c r="CJ46" s="26">
        <f t="shared" si="98"/>
        <v>0</v>
      </c>
      <c r="CK46" s="26">
        <f t="shared" si="98"/>
        <v>0</v>
      </c>
      <c r="CL46" s="26">
        <f t="shared" si="98"/>
        <v>0</v>
      </c>
      <c r="CM46" s="26">
        <f t="shared" si="98"/>
        <v>0</v>
      </c>
      <c r="CN46" s="26">
        <f t="shared" si="98"/>
        <v>0</v>
      </c>
      <c r="CO46" s="26">
        <f t="shared" si="98"/>
        <v>0</v>
      </c>
      <c r="CP46" s="26">
        <f t="shared" si="98"/>
        <v>0</v>
      </c>
      <c r="CQ46" s="26">
        <f t="shared" si="98"/>
        <v>0</v>
      </c>
      <c r="CR46" s="26">
        <f t="shared" si="98"/>
        <v>0</v>
      </c>
      <c r="CS46" s="26">
        <f t="shared" si="98"/>
        <v>0</v>
      </c>
      <c r="CT46" s="26">
        <f t="shared" si="98"/>
        <v>0</v>
      </c>
      <c r="CU46" s="26">
        <f t="shared" si="98"/>
        <v>0</v>
      </c>
      <c r="CV46" s="26">
        <f t="shared" si="98"/>
        <v>0</v>
      </c>
      <c r="CW46" s="26">
        <f t="shared" ref="CW46:EB46" si="99">(((1+IF($D$46="Pré",0,INDEX(Ativo,IF($D$46="CDI",6,8),MATCH(CW$2,header_ativo,0))))*(1+$C46))^(CW$4/252)-1)*CW$45</f>
        <v>0</v>
      </c>
      <c r="CX46" s="26">
        <f t="shared" si="99"/>
        <v>0</v>
      </c>
      <c r="CY46" s="26">
        <f t="shared" si="99"/>
        <v>0</v>
      </c>
      <c r="CZ46" s="26">
        <f t="shared" si="99"/>
        <v>0</v>
      </c>
      <c r="DA46" s="26">
        <f t="shared" si="99"/>
        <v>0</v>
      </c>
      <c r="DB46" s="26">
        <f t="shared" si="99"/>
        <v>0</v>
      </c>
      <c r="DC46" s="26">
        <f t="shared" si="99"/>
        <v>0</v>
      </c>
      <c r="DD46" s="26">
        <f t="shared" si="99"/>
        <v>0</v>
      </c>
      <c r="DE46" s="26">
        <f t="shared" si="99"/>
        <v>0</v>
      </c>
      <c r="DF46" s="26">
        <f t="shared" si="99"/>
        <v>0</v>
      </c>
      <c r="DG46" s="26">
        <f t="shared" si="99"/>
        <v>0</v>
      </c>
      <c r="DH46" s="26">
        <f t="shared" si="99"/>
        <v>0</v>
      </c>
      <c r="DI46" s="26">
        <f t="shared" si="99"/>
        <v>0</v>
      </c>
      <c r="DJ46" s="26">
        <f t="shared" si="99"/>
        <v>0</v>
      </c>
      <c r="DK46" s="26">
        <f t="shared" si="99"/>
        <v>0</v>
      </c>
      <c r="DL46" s="26">
        <f t="shared" si="99"/>
        <v>0</v>
      </c>
      <c r="DM46" s="26">
        <f t="shared" si="99"/>
        <v>0</v>
      </c>
      <c r="DN46" s="26">
        <f t="shared" si="99"/>
        <v>0</v>
      </c>
      <c r="DO46" s="26">
        <f t="shared" si="99"/>
        <v>0</v>
      </c>
      <c r="DP46" s="26">
        <f t="shared" si="99"/>
        <v>0</v>
      </c>
      <c r="DQ46" s="26">
        <f t="shared" si="99"/>
        <v>0</v>
      </c>
      <c r="DR46" s="26">
        <f t="shared" si="99"/>
        <v>0</v>
      </c>
      <c r="DS46" s="26">
        <f t="shared" si="99"/>
        <v>0</v>
      </c>
      <c r="DT46" s="26">
        <f t="shared" si="99"/>
        <v>0</v>
      </c>
      <c r="DU46" s="26">
        <f t="shared" si="99"/>
        <v>0</v>
      </c>
      <c r="DV46" s="26">
        <f t="shared" si="99"/>
        <v>0</v>
      </c>
      <c r="DW46" s="26">
        <f t="shared" si="99"/>
        <v>0</v>
      </c>
      <c r="DX46" s="26">
        <f t="shared" si="99"/>
        <v>0</v>
      </c>
      <c r="DY46" s="26">
        <f t="shared" si="99"/>
        <v>0</v>
      </c>
      <c r="DZ46" s="26">
        <f t="shared" si="99"/>
        <v>0</v>
      </c>
      <c r="EA46" s="26">
        <f t="shared" si="99"/>
        <v>0</v>
      </c>
      <c r="EB46" s="26">
        <f t="shared" si="99"/>
        <v>0</v>
      </c>
      <c r="EC46" s="26">
        <f t="shared" ref="EC46:FK46" si="100">(((1+IF($D$46="Pré",0,INDEX(Ativo,IF($D$46="CDI",6,8),MATCH(EC$2,header_ativo,0))))*(1+$C46))^(EC$4/252)-1)*EC$45</f>
        <v>0</v>
      </c>
      <c r="ED46" s="26">
        <f t="shared" si="100"/>
        <v>0</v>
      </c>
      <c r="EE46" s="26">
        <f t="shared" si="100"/>
        <v>0</v>
      </c>
      <c r="EF46" s="26">
        <f t="shared" si="100"/>
        <v>0</v>
      </c>
      <c r="EG46" s="26">
        <f t="shared" si="100"/>
        <v>0</v>
      </c>
      <c r="EH46" s="26">
        <f t="shared" si="100"/>
        <v>0</v>
      </c>
      <c r="EI46" s="26">
        <f t="shared" si="100"/>
        <v>0</v>
      </c>
      <c r="EJ46" s="26">
        <f t="shared" si="100"/>
        <v>0</v>
      </c>
      <c r="EK46" s="26">
        <f t="shared" si="100"/>
        <v>0</v>
      </c>
      <c r="EL46" s="26">
        <f t="shared" si="100"/>
        <v>0</v>
      </c>
      <c r="EM46" s="26">
        <f t="shared" si="100"/>
        <v>0</v>
      </c>
      <c r="EN46" s="26">
        <f t="shared" si="100"/>
        <v>0</v>
      </c>
      <c r="EO46" s="26">
        <f t="shared" si="100"/>
        <v>0</v>
      </c>
      <c r="EP46" s="26">
        <f t="shared" si="100"/>
        <v>0</v>
      </c>
      <c r="EQ46" s="26">
        <f t="shared" si="100"/>
        <v>0</v>
      </c>
      <c r="ER46" s="26">
        <f t="shared" si="100"/>
        <v>0</v>
      </c>
      <c r="ES46" s="26">
        <f t="shared" si="100"/>
        <v>0</v>
      </c>
      <c r="ET46" s="26">
        <f t="shared" si="100"/>
        <v>0</v>
      </c>
      <c r="EU46" s="26">
        <f t="shared" si="100"/>
        <v>0</v>
      </c>
      <c r="EV46" s="26">
        <f t="shared" si="100"/>
        <v>0</v>
      </c>
      <c r="EW46" s="26">
        <f t="shared" si="100"/>
        <v>0</v>
      </c>
      <c r="EX46" s="26">
        <f t="shared" si="100"/>
        <v>0</v>
      </c>
      <c r="EY46" s="26">
        <f t="shared" si="100"/>
        <v>0</v>
      </c>
      <c r="EZ46" s="26">
        <f t="shared" si="100"/>
        <v>0</v>
      </c>
      <c r="FA46" s="26">
        <f t="shared" si="100"/>
        <v>0</v>
      </c>
      <c r="FB46" s="26">
        <f t="shared" si="100"/>
        <v>0</v>
      </c>
      <c r="FC46" s="26">
        <f t="shared" si="100"/>
        <v>0</v>
      </c>
      <c r="FD46" s="26">
        <f t="shared" si="100"/>
        <v>0</v>
      </c>
      <c r="FE46" s="26">
        <f t="shared" si="100"/>
        <v>0</v>
      </c>
      <c r="FF46" s="26">
        <f t="shared" si="100"/>
        <v>0</v>
      </c>
      <c r="FG46" s="26">
        <f t="shared" si="100"/>
        <v>0</v>
      </c>
      <c r="FH46" s="26">
        <f t="shared" si="100"/>
        <v>0</v>
      </c>
      <c r="FI46" s="26">
        <f t="shared" si="100"/>
        <v>0</v>
      </c>
      <c r="FJ46" s="26">
        <f t="shared" si="100"/>
        <v>0</v>
      </c>
      <c r="FK46" s="26">
        <f t="shared" si="100"/>
        <v>0</v>
      </c>
    </row>
    <row r="47" spans="1:167" outlineLevel="1" x14ac:dyDescent="0.35">
      <c r="B47" s="2" t="s">
        <v>102</v>
      </c>
      <c r="E47" s="26">
        <f t="shared" ref="E47:AJ47" si="101">E45+E46</f>
        <v>0</v>
      </c>
      <c r="F47" s="26">
        <f t="shared" si="101"/>
        <v>0</v>
      </c>
      <c r="G47" s="26">
        <f t="shared" si="101"/>
        <v>0</v>
      </c>
      <c r="H47" s="26">
        <f t="shared" si="101"/>
        <v>0</v>
      </c>
      <c r="I47" s="26">
        <f t="shared" si="101"/>
        <v>0</v>
      </c>
      <c r="J47" s="26">
        <f t="shared" si="101"/>
        <v>0</v>
      </c>
      <c r="K47" s="26">
        <f t="shared" si="101"/>
        <v>0</v>
      </c>
      <c r="L47" s="26">
        <f t="shared" si="101"/>
        <v>0</v>
      </c>
      <c r="M47" s="26">
        <f t="shared" si="101"/>
        <v>0</v>
      </c>
      <c r="N47" s="26">
        <f t="shared" si="101"/>
        <v>0</v>
      </c>
      <c r="O47" s="26">
        <f t="shared" si="101"/>
        <v>0</v>
      </c>
      <c r="P47" s="26">
        <f t="shared" si="101"/>
        <v>0</v>
      </c>
      <c r="Q47" s="26">
        <f t="shared" si="101"/>
        <v>0</v>
      </c>
      <c r="R47" s="26">
        <f t="shared" si="101"/>
        <v>0</v>
      </c>
      <c r="S47" s="26">
        <f t="shared" si="101"/>
        <v>0</v>
      </c>
      <c r="T47" s="26">
        <f t="shared" si="101"/>
        <v>0</v>
      </c>
      <c r="U47" s="26">
        <f t="shared" si="101"/>
        <v>0</v>
      </c>
      <c r="V47" s="26">
        <f t="shared" si="101"/>
        <v>0</v>
      </c>
      <c r="W47" s="26">
        <f t="shared" si="101"/>
        <v>0</v>
      </c>
      <c r="X47" s="26">
        <f t="shared" si="101"/>
        <v>0</v>
      </c>
      <c r="Y47" s="26">
        <f t="shared" si="101"/>
        <v>0</v>
      </c>
      <c r="Z47" s="26">
        <f t="shared" si="101"/>
        <v>0</v>
      </c>
      <c r="AA47" s="26">
        <f t="shared" si="101"/>
        <v>0</v>
      </c>
      <c r="AB47" s="26">
        <f t="shared" si="101"/>
        <v>0</v>
      </c>
      <c r="AC47" s="26">
        <f t="shared" si="101"/>
        <v>0</v>
      </c>
      <c r="AD47" s="26">
        <f t="shared" si="101"/>
        <v>0</v>
      </c>
      <c r="AE47" s="26">
        <f t="shared" si="101"/>
        <v>0</v>
      </c>
      <c r="AF47" s="26">
        <f t="shared" si="101"/>
        <v>0</v>
      </c>
      <c r="AG47" s="26">
        <f t="shared" si="101"/>
        <v>0</v>
      </c>
      <c r="AH47" s="26">
        <f t="shared" si="101"/>
        <v>0</v>
      </c>
      <c r="AI47" s="26">
        <f t="shared" si="101"/>
        <v>0</v>
      </c>
      <c r="AJ47" s="26">
        <f t="shared" si="101"/>
        <v>0</v>
      </c>
      <c r="AK47" s="26">
        <f t="shared" ref="AK47:BP47" si="102">AK45+AK46</f>
        <v>0</v>
      </c>
      <c r="AL47" s="26">
        <f t="shared" si="102"/>
        <v>0</v>
      </c>
      <c r="AM47" s="26">
        <f t="shared" si="102"/>
        <v>0</v>
      </c>
      <c r="AN47" s="26">
        <f t="shared" si="102"/>
        <v>0</v>
      </c>
      <c r="AO47" s="26">
        <f t="shared" si="102"/>
        <v>0</v>
      </c>
      <c r="AP47" s="26">
        <f t="shared" si="102"/>
        <v>0</v>
      </c>
      <c r="AQ47" s="26">
        <f t="shared" si="102"/>
        <v>0</v>
      </c>
      <c r="AR47" s="26">
        <f t="shared" si="102"/>
        <v>0</v>
      </c>
      <c r="AS47" s="26">
        <f t="shared" si="102"/>
        <v>0</v>
      </c>
      <c r="AT47" s="26">
        <f t="shared" si="102"/>
        <v>0</v>
      </c>
      <c r="AU47" s="26">
        <f t="shared" si="102"/>
        <v>0</v>
      </c>
      <c r="AV47" s="26">
        <f t="shared" si="102"/>
        <v>0</v>
      </c>
      <c r="AW47" s="26">
        <f t="shared" si="102"/>
        <v>0</v>
      </c>
      <c r="AX47" s="26">
        <f t="shared" si="102"/>
        <v>0</v>
      </c>
      <c r="AY47" s="26">
        <f t="shared" si="102"/>
        <v>0</v>
      </c>
      <c r="AZ47" s="26">
        <f t="shared" si="102"/>
        <v>0</v>
      </c>
      <c r="BA47" s="26">
        <f t="shared" si="102"/>
        <v>0</v>
      </c>
      <c r="BB47" s="26">
        <f t="shared" si="102"/>
        <v>0</v>
      </c>
      <c r="BC47" s="26">
        <f t="shared" si="102"/>
        <v>0</v>
      </c>
      <c r="BD47" s="26">
        <f t="shared" si="102"/>
        <v>0</v>
      </c>
      <c r="BE47" s="26">
        <f t="shared" si="102"/>
        <v>0</v>
      </c>
      <c r="BF47" s="26">
        <f t="shared" si="102"/>
        <v>0</v>
      </c>
      <c r="BG47" s="26">
        <f t="shared" si="102"/>
        <v>0</v>
      </c>
      <c r="BH47" s="26">
        <f t="shared" si="102"/>
        <v>0</v>
      </c>
      <c r="BI47" s="26">
        <f t="shared" si="102"/>
        <v>0</v>
      </c>
      <c r="BJ47" s="26">
        <f t="shared" si="102"/>
        <v>0</v>
      </c>
      <c r="BK47" s="26">
        <f t="shared" si="102"/>
        <v>0</v>
      </c>
      <c r="BL47" s="26">
        <f t="shared" si="102"/>
        <v>0</v>
      </c>
      <c r="BM47" s="26">
        <f t="shared" si="102"/>
        <v>0</v>
      </c>
      <c r="BN47" s="26">
        <f t="shared" si="102"/>
        <v>0</v>
      </c>
      <c r="BO47" s="26">
        <f t="shared" si="102"/>
        <v>0</v>
      </c>
      <c r="BP47" s="26">
        <f t="shared" si="102"/>
        <v>0</v>
      </c>
      <c r="BQ47" s="26">
        <f t="shared" ref="BQ47:CV47" si="103">BQ45+BQ46</f>
        <v>0</v>
      </c>
      <c r="BR47" s="26">
        <f t="shared" si="103"/>
        <v>0</v>
      </c>
      <c r="BS47" s="26">
        <f t="shared" si="103"/>
        <v>0</v>
      </c>
      <c r="BT47" s="26">
        <f t="shared" si="103"/>
        <v>0</v>
      </c>
      <c r="BU47" s="26">
        <f t="shared" si="103"/>
        <v>0</v>
      </c>
      <c r="BV47" s="26">
        <f t="shared" si="103"/>
        <v>0</v>
      </c>
      <c r="BW47" s="26">
        <f t="shared" si="103"/>
        <v>0</v>
      </c>
      <c r="BX47" s="26">
        <f t="shared" si="103"/>
        <v>0</v>
      </c>
      <c r="BY47" s="26">
        <f t="shared" si="103"/>
        <v>0</v>
      </c>
      <c r="BZ47" s="26">
        <f t="shared" si="103"/>
        <v>0</v>
      </c>
      <c r="CA47" s="26">
        <f t="shared" si="103"/>
        <v>0</v>
      </c>
      <c r="CB47" s="26">
        <f t="shared" si="103"/>
        <v>0</v>
      </c>
      <c r="CC47" s="26">
        <f t="shared" si="103"/>
        <v>0</v>
      </c>
      <c r="CD47" s="26">
        <f t="shared" si="103"/>
        <v>0</v>
      </c>
      <c r="CE47" s="26">
        <f t="shared" si="103"/>
        <v>0</v>
      </c>
      <c r="CF47" s="26">
        <f t="shared" si="103"/>
        <v>0</v>
      </c>
      <c r="CG47" s="26">
        <f t="shared" si="103"/>
        <v>0</v>
      </c>
      <c r="CH47" s="26">
        <f t="shared" si="103"/>
        <v>0</v>
      </c>
      <c r="CI47" s="26">
        <f t="shared" si="103"/>
        <v>0</v>
      </c>
      <c r="CJ47" s="26">
        <f t="shared" si="103"/>
        <v>0</v>
      </c>
      <c r="CK47" s="26">
        <f t="shared" si="103"/>
        <v>0</v>
      </c>
      <c r="CL47" s="26">
        <f t="shared" si="103"/>
        <v>0</v>
      </c>
      <c r="CM47" s="26">
        <f t="shared" si="103"/>
        <v>0</v>
      </c>
      <c r="CN47" s="26">
        <f t="shared" si="103"/>
        <v>0</v>
      </c>
      <c r="CO47" s="26">
        <f t="shared" si="103"/>
        <v>0</v>
      </c>
      <c r="CP47" s="26">
        <f t="shared" si="103"/>
        <v>0</v>
      </c>
      <c r="CQ47" s="26">
        <f t="shared" si="103"/>
        <v>0</v>
      </c>
      <c r="CR47" s="26">
        <f t="shared" si="103"/>
        <v>0</v>
      </c>
      <c r="CS47" s="26">
        <f t="shared" si="103"/>
        <v>0</v>
      </c>
      <c r="CT47" s="26">
        <f t="shared" si="103"/>
        <v>0</v>
      </c>
      <c r="CU47" s="26">
        <f t="shared" si="103"/>
        <v>0</v>
      </c>
      <c r="CV47" s="26">
        <f t="shared" si="103"/>
        <v>0</v>
      </c>
      <c r="CW47" s="26">
        <f t="shared" ref="CW47:EB47" si="104">CW45+CW46</f>
        <v>0</v>
      </c>
      <c r="CX47" s="26">
        <f t="shared" si="104"/>
        <v>0</v>
      </c>
      <c r="CY47" s="26">
        <f t="shared" si="104"/>
        <v>0</v>
      </c>
      <c r="CZ47" s="26">
        <f t="shared" si="104"/>
        <v>0</v>
      </c>
      <c r="DA47" s="26">
        <f t="shared" si="104"/>
        <v>0</v>
      </c>
      <c r="DB47" s="26">
        <f t="shared" si="104"/>
        <v>0</v>
      </c>
      <c r="DC47" s="26">
        <f t="shared" si="104"/>
        <v>0</v>
      </c>
      <c r="DD47" s="26">
        <f t="shared" si="104"/>
        <v>0</v>
      </c>
      <c r="DE47" s="26">
        <f t="shared" si="104"/>
        <v>0</v>
      </c>
      <c r="DF47" s="26">
        <f t="shared" si="104"/>
        <v>0</v>
      </c>
      <c r="DG47" s="26">
        <f t="shared" si="104"/>
        <v>0</v>
      </c>
      <c r="DH47" s="26">
        <f t="shared" si="104"/>
        <v>0</v>
      </c>
      <c r="DI47" s="26">
        <f t="shared" si="104"/>
        <v>0</v>
      </c>
      <c r="DJ47" s="26">
        <f t="shared" si="104"/>
        <v>0</v>
      </c>
      <c r="DK47" s="26">
        <f t="shared" si="104"/>
        <v>0</v>
      </c>
      <c r="DL47" s="26">
        <f t="shared" si="104"/>
        <v>0</v>
      </c>
      <c r="DM47" s="26">
        <f t="shared" si="104"/>
        <v>0</v>
      </c>
      <c r="DN47" s="26">
        <f t="shared" si="104"/>
        <v>0</v>
      </c>
      <c r="DO47" s="26">
        <f t="shared" si="104"/>
        <v>0</v>
      </c>
      <c r="DP47" s="26">
        <f t="shared" si="104"/>
        <v>0</v>
      </c>
      <c r="DQ47" s="26">
        <f t="shared" si="104"/>
        <v>0</v>
      </c>
      <c r="DR47" s="26">
        <f t="shared" si="104"/>
        <v>0</v>
      </c>
      <c r="DS47" s="26">
        <f t="shared" si="104"/>
        <v>0</v>
      </c>
      <c r="DT47" s="26">
        <f t="shared" si="104"/>
        <v>0</v>
      </c>
      <c r="DU47" s="26">
        <f t="shared" si="104"/>
        <v>0</v>
      </c>
      <c r="DV47" s="26">
        <f t="shared" si="104"/>
        <v>0</v>
      </c>
      <c r="DW47" s="26">
        <f t="shared" si="104"/>
        <v>0</v>
      </c>
      <c r="DX47" s="26">
        <f t="shared" si="104"/>
        <v>0</v>
      </c>
      <c r="DY47" s="26">
        <f t="shared" si="104"/>
        <v>0</v>
      </c>
      <c r="DZ47" s="26">
        <f t="shared" si="104"/>
        <v>0</v>
      </c>
      <c r="EA47" s="26">
        <f t="shared" si="104"/>
        <v>0</v>
      </c>
      <c r="EB47" s="26">
        <f t="shared" si="104"/>
        <v>0</v>
      </c>
      <c r="EC47" s="26">
        <f t="shared" ref="EC47:FH47" si="105">EC45+EC46</f>
        <v>0</v>
      </c>
      <c r="ED47" s="26">
        <f t="shared" si="105"/>
        <v>0</v>
      </c>
      <c r="EE47" s="26">
        <f t="shared" si="105"/>
        <v>0</v>
      </c>
      <c r="EF47" s="26">
        <f t="shared" si="105"/>
        <v>0</v>
      </c>
      <c r="EG47" s="26">
        <f t="shared" si="105"/>
        <v>0</v>
      </c>
      <c r="EH47" s="26">
        <f t="shared" si="105"/>
        <v>0</v>
      </c>
      <c r="EI47" s="26">
        <f t="shared" si="105"/>
        <v>0</v>
      </c>
      <c r="EJ47" s="26">
        <f t="shared" si="105"/>
        <v>0</v>
      </c>
      <c r="EK47" s="26">
        <f t="shared" si="105"/>
        <v>0</v>
      </c>
      <c r="EL47" s="26">
        <f t="shared" si="105"/>
        <v>0</v>
      </c>
      <c r="EM47" s="26">
        <f t="shared" si="105"/>
        <v>0</v>
      </c>
      <c r="EN47" s="26">
        <f t="shared" si="105"/>
        <v>0</v>
      </c>
      <c r="EO47" s="26">
        <f t="shared" si="105"/>
        <v>0</v>
      </c>
      <c r="EP47" s="26">
        <f t="shared" si="105"/>
        <v>0</v>
      </c>
      <c r="EQ47" s="26">
        <f t="shared" si="105"/>
        <v>0</v>
      </c>
      <c r="ER47" s="26">
        <f t="shared" si="105"/>
        <v>0</v>
      </c>
      <c r="ES47" s="26">
        <f t="shared" si="105"/>
        <v>0</v>
      </c>
      <c r="ET47" s="26">
        <f t="shared" si="105"/>
        <v>0</v>
      </c>
      <c r="EU47" s="26">
        <f t="shared" si="105"/>
        <v>0</v>
      </c>
      <c r="EV47" s="26">
        <f t="shared" si="105"/>
        <v>0</v>
      </c>
      <c r="EW47" s="26">
        <f t="shared" si="105"/>
        <v>0</v>
      </c>
      <c r="EX47" s="26">
        <f t="shared" si="105"/>
        <v>0</v>
      </c>
      <c r="EY47" s="26">
        <f t="shared" si="105"/>
        <v>0</v>
      </c>
      <c r="EZ47" s="26">
        <f t="shared" si="105"/>
        <v>0</v>
      </c>
      <c r="FA47" s="26">
        <f t="shared" si="105"/>
        <v>0</v>
      </c>
      <c r="FB47" s="26">
        <f t="shared" si="105"/>
        <v>0</v>
      </c>
      <c r="FC47" s="26">
        <f t="shared" si="105"/>
        <v>0</v>
      </c>
      <c r="FD47" s="26">
        <f t="shared" si="105"/>
        <v>0</v>
      </c>
      <c r="FE47" s="26">
        <f t="shared" si="105"/>
        <v>0</v>
      </c>
      <c r="FF47" s="26">
        <f t="shared" si="105"/>
        <v>0</v>
      </c>
      <c r="FG47" s="26">
        <f t="shared" si="105"/>
        <v>0</v>
      </c>
      <c r="FH47" s="26">
        <f t="shared" si="105"/>
        <v>0</v>
      </c>
      <c r="FI47" s="26">
        <f t="shared" ref="FI47:FK47" si="106">FI45+FI46</f>
        <v>0</v>
      </c>
      <c r="FJ47" s="26">
        <f t="shared" si="106"/>
        <v>0</v>
      </c>
      <c r="FK47" s="26">
        <f t="shared" si="106"/>
        <v>0</v>
      </c>
    </row>
    <row r="48" spans="1:167" x14ac:dyDescent="0.35">
      <c r="E48" s="2">
        <f t="shared" ref="E48:AJ48" si="107">IF(AND(E47&gt;E30,E30&gt;0),1,0)</f>
        <v>0</v>
      </c>
      <c r="F48" s="2">
        <f t="shared" si="107"/>
        <v>0</v>
      </c>
      <c r="G48" s="2">
        <f t="shared" si="107"/>
        <v>0</v>
      </c>
      <c r="H48" s="2">
        <f t="shared" si="107"/>
        <v>0</v>
      </c>
      <c r="I48" s="2">
        <f t="shared" si="107"/>
        <v>0</v>
      </c>
      <c r="J48" s="2">
        <f t="shared" si="107"/>
        <v>0</v>
      </c>
      <c r="K48" s="2">
        <f t="shared" si="107"/>
        <v>0</v>
      </c>
      <c r="L48" s="2">
        <f t="shared" si="107"/>
        <v>0</v>
      </c>
      <c r="M48" s="2">
        <f t="shared" si="107"/>
        <v>0</v>
      </c>
      <c r="N48" s="2">
        <f t="shared" si="107"/>
        <v>0</v>
      </c>
      <c r="O48" s="2">
        <f t="shared" si="107"/>
        <v>0</v>
      </c>
      <c r="P48" s="2">
        <f t="shared" si="107"/>
        <v>0</v>
      </c>
      <c r="Q48" s="2">
        <f t="shared" si="107"/>
        <v>0</v>
      </c>
      <c r="R48" s="2">
        <f t="shared" si="107"/>
        <v>0</v>
      </c>
      <c r="S48" s="2">
        <f t="shared" si="107"/>
        <v>0</v>
      </c>
      <c r="T48" s="2">
        <f t="shared" si="107"/>
        <v>0</v>
      </c>
      <c r="U48" s="2">
        <f t="shared" si="107"/>
        <v>0</v>
      </c>
      <c r="V48" s="2">
        <f t="shared" si="107"/>
        <v>0</v>
      </c>
      <c r="W48" s="2">
        <f t="shared" si="107"/>
        <v>0</v>
      </c>
      <c r="X48" s="2">
        <f t="shared" si="107"/>
        <v>0</v>
      </c>
      <c r="Y48" s="2">
        <f t="shared" si="107"/>
        <v>0</v>
      </c>
      <c r="Z48" s="2">
        <f t="shared" si="107"/>
        <v>0</v>
      </c>
      <c r="AA48" s="2">
        <f t="shared" si="107"/>
        <v>0</v>
      </c>
      <c r="AB48" s="2">
        <f t="shared" si="107"/>
        <v>0</v>
      </c>
      <c r="AC48" s="2">
        <f t="shared" si="107"/>
        <v>0</v>
      </c>
      <c r="AD48" s="2">
        <f t="shared" si="107"/>
        <v>0</v>
      </c>
      <c r="AE48" s="2">
        <f t="shared" si="107"/>
        <v>0</v>
      </c>
      <c r="AF48" s="2">
        <f t="shared" si="107"/>
        <v>0</v>
      </c>
      <c r="AG48" s="2">
        <f t="shared" si="107"/>
        <v>0</v>
      </c>
      <c r="AH48" s="2">
        <f t="shared" si="107"/>
        <v>0</v>
      </c>
      <c r="AI48" s="2">
        <f t="shared" si="107"/>
        <v>0</v>
      </c>
      <c r="AJ48" s="2">
        <f t="shared" si="107"/>
        <v>0</v>
      </c>
      <c r="AK48" s="2">
        <f t="shared" ref="AK48:BP48" si="108">IF(AND(AK47&gt;AK30,AK30&gt;0),1,0)</f>
        <v>0</v>
      </c>
      <c r="AL48" s="2">
        <f t="shared" si="108"/>
        <v>0</v>
      </c>
      <c r="AM48" s="2">
        <f t="shared" si="108"/>
        <v>0</v>
      </c>
      <c r="AN48" s="2">
        <f t="shared" si="108"/>
        <v>0</v>
      </c>
      <c r="AO48" s="2">
        <f t="shared" si="108"/>
        <v>0</v>
      </c>
      <c r="AP48" s="2">
        <f t="shared" si="108"/>
        <v>0</v>
      </c>
      <c r="AQ48" s="2">
        <f t="shared" si="108"/>
        <v>0</v>
      </c>
      <c r="AR48" s="2">
        <f t="shared" si="108"/>
        <v>0</v>
      </c>
      <c r="AS48" s="2">
        <f t="shared" si="108"/>
        <v>0</v>
      </c>
      <c r="AT48" s="2">
        <f t="shared" si="108"/>
        <v>0</v>
      </c>
      <c r="AU48" s="2">
        <f t="shared" si="108"/>
        <v>0</v>
      </c>
      <c r="AV48" s="2">
        <f t="shared" si="108"/>
        <v>0</v>
      </c>
      <c r="AW48" s="2">
        <f t="shared" si="108"/>
        <v>0</v>
      </c>
      <c r="AX48" s="2">
        <f t="shared" si="108"/>
        <v>0</v>
      </c>
      <c r="AY48" s="2">
        <f t="shared" si="108"/>
        <v>0</v>
      </c>
      <c r="AZ48" s="2">
        <f t="shared" si="108"/>
        <v>0</v>
      </c>
      <c r="BA48" s="2">
        <f t="shared" si="108"/>
        <v>0</v>
      </c>
      <c r="BB48" s="2">
        <f t="shared" si="108"/>
        <v>0</v>
      </c>
      <c r="BC48" s="2">
        <f t="shared" si="108"/>
        <v>0</v>
      </c>
      <c r="BD48" s="2">
        <f t="shared" si="108"/>
        <v>0</v>
      </c>
      <c r="BE48" s="2">
        <f t="shared" si="108"/>
        <v>0</v>
      </c>
      <c r="BF48" s="2">
        <f t="shared" si="108"/>
        <v>0</v>
      </c>
      <c r="BG48" s="2">
        <f t="shared" si="108"/>
        <v>0</v>
      </c>
      <c r="BH48" s="2">
        <f t="shared" si="108"/>
        <v>0</v>
      </c>
      <c r="BI48" s="2">
        <f t="shared" si="108"/>
        <v>0</v>
      </c>
      <c r="BJ48" s="2">
        <f t="shared" si="108"/>
        <v>0</v>
      </c>
      <c r="BK48" s="2">
        <f t="shared" si="108"/>
        <v>0</v>
      </c>
      <c r="BL48" s="2">
        <f t="shared" si="108"/>
        <v>0</v>
      </c>
      <c r="BM48" s="2">
        <f t="shared" si="108"/>
        <v>0</v>
      </c>
      <c r="BN48" s="2">
        <f t="shared" si="108"/>
        <v>0</v>
      </c>
      <c r="BO48" s="2">
        <f t="shared" si="108"/>
        <v>0</v>
      </c>
      <c r="BP48" s="2">
        <f t="shared" si="108"/>
        <v>0</v>
      </c>
      <c r="BQ48" s="2">
        <f t="shared" ref="BQ48:CV48" si="109">IF(AND(BQ47&gt;BQ30,BQ30&gt;0),1,0)</f>
        <v>0</v>
      </c>
      <c r="BR48" s="2">
        <f t="shared" si="109"/>
        <v>0</v>
      </c>
      <c r="BS48" s="2">
        <f t="shared" si="109"/>
        <v>0</v>
      </c>
      <c r="BT48" s="2">
        <f t="shared" si="109"/>
        <v>0</v>
      </c>
      <c r="BU48" s="2">
        <f t="shared" si="109"/>
        <v>0</v>
      </c>
      <c r="BV48" s="2">
        <f t="shared" si="109"/>
        <v>0</v>
      </c>
      <c r="BW48" s="2">
        <f t="shared" si="109"/>
        <v>0</v>
      </c>
      <c r="BX48" s="2">
        <f t="shared" si="109"/>
        <v>0</v>
      </c>
      <c r="BY48" s="2">
        <f t="shared" si="109"/>
        <v>0</v>
      </c>
      <c r="BZ48" s="2">
        <f t="shared" si="109"/>
        <v>0</v>
      </c>
      <c r="CA48" s="2">
        <f t="shared" si="109"/>
        <v>0</v>
      </c>
      <c r="CB48" s="2">
        <f t="shared" si="109"/>
        <v>0</v>
      </c>
      <c r="CC48" s="2">
        <f t="shared" si="109"/>
        <v>0</v>
      </c>
      <c r="CD48" s="2">
        <f t="shared" si="109"/>
        <v>0</v>
      </c>
      <c r="CE48" s="2">
        <f t="shared" si="109"/>
        <v>0</v>
      </c>
      <c r="CF48" s="2">
        <f t="shared" si="109"/>
        <v>0</v>
      </c>
      <c r="CG48" s="2">
        <f t="shared" si="109"/>
        <v>0</v>
      </c>
      <c r="CH48" s="2">
        <f t="shared" si="109"/>
        <v>0</v>
      </c>
      <c r="CI48" s="2">
        <f t="shared" si="109"/>
        <v>0</v>
      </c>
      <c r="CJ48" s="2">
        <f t="shared" si="109"/>
        <v>0</v>
      </c>
      <c r="CK48" s="2">
        <f t="shared" si="109"/>
        <v>0</v>
      </c>
      <c r="CL48" s="2">
        <f t="shared" si="109"/>
        <v>0</v>
      </c>
      <c r="CM48" s="2">
        <f t="shared" si="109"/>
        <v>0</v>
      </c>
      <c r="CN48" s="2">
        <f t="shared" si="109"/>
        <v>0</v>
      </c>
      <c r="CO48" s="2">
        <f t="shared" si="109"/>
        <v>0</v>
      </c>
      <c r="CP48" s="2">
        <f t="shared" si="109"/>
        <v>0</v>
      </c>
      <c r="CQ48" s="2">
        <f t="shared" si="109"/>
        <v>0</v>
      </c>
      <c r="CR48" s="2">
        <f t="shared" si="109"/>
        <v>0</v>
      </c>
      <c r="CS48" s="2">
        <f t="shared" si="109"/>
        <v>0</v>
      </c>
      <c r="CT48" s="2">
        <f t="shared" si="109"/>
        <v>0</v>
      </c>
      <c r="CU48" s="2">
        <f t="shared" si="109"/>
        <v>0</v>
      </c>
      <c r="CV48" s="2">
        <f t="shared" si="109"/>
        <v>0</v>
      </c>
      <c r="CW48" s="2">
        <f t="shared" ref="CW48:EB48" si="110">IF(AND(CW47&gt;CW30,CW30&gt;0),1,0)</f>
        <v>0</v>
      </c>
      <c r="CX48" s="2">
        <f t="shared" si="110"/>
        <v>0</v>
      </c>
      <c r="CY48" s="2">
        <f t="shared" si="110"/>
        <v>0</v>
      </c>
      <c r="CZ48" s="2">
        <f t="shared" si="110"/>
        <v>0</v>
      </c>
      <c r="DA48" s="2">
        <f t="shared" si="110"/>
        <v>0</v>
      </c>
      <c r="DB48" s="2">
        <f t="shared" si="110"/>
        <v>0</v>
      </c>
      <c r="DC48" s="2">
        <f t="shared" si="110"/>
        <v>0</v>
      </c>
      <c r="DD48" s="2">
        <f t="shared" si="110"/>
        <v>0</v>
      </c>
      <c r="DE48" s="2">
        <f t="shared" si="110"/>
        <v>0</v>
      </c>
      <c r="DF48" s="2">
        <f t="shared" si="110"/>
        <v>0</v>
      </c>
      <c r="DG48" s="2">
        <f t="shared" si="110"/>
        <v>0</v>
      </c>
      <c r="DH48" s="2">
        <f t="shared" si="110"/>
        <v>0</v>
      </c>
      <c r="DI48" s="2">
        <f t="shared" si="110"/>
        <v>0</v>
      </c>
      <c r="DJ48" s="2">
        <f t="shared" si="110"/>
        <v>0</v>
      </c>
      <c r="DK48" s="2">
        <f t="shared" si="110"/>
        <v>0</v>
      </c>
      <c r="DL48" s="2">
        <f t="shared" si="110"/>
        <v>0</v>
      </c>
      <c r="DM48" s="2">
        <f t="shared" si="110"/>
        <v>0</v>
      </c>
      <c r="DN48" s="2">
        <f t="shared" si="110"/>
        <v>0</v>
      </c>
      <c r="DO48" s="2">
        <f t="shared" si="110"/>
        <v>0</v>
      </c>
      <c r="DP48" s="2">
        <f t="shared" si="110"/>
        <v>0</v>
      </c>
      <c r="DQ48" s="2">
        <f t="shared" si="110"/>
        <v>0</v>
      </c>
      <c r="DR48" s="2">
        <f t="shared" si="110"/>
        <v>0</v>
      </c>
      <c r="DS48" s="2">
        <f t="shared" si="110"/>
        <v>0</v>
      </c>
      <c r="DT48" s="2">
        <f t="shared" si="110"/>
        <v>0</v>
      </c>
      <c r="DU48" s="2">
        <f t="shared" si="110"/>
        <v>0</v>
      </c>
      <c r="DV48" s="2">
        <f t="shared" si="110"/>
        <v>0</v>
      </c>
      <c r="DW48" s="2">
        <f t="shared" si="110"/>
        <v>0</v>
      </c>
      <c r="DX48" s="2">
        <f t="shared" si="110"/>
        <v>0</v>
      </c>
      <c r="DY48" s="2">
        <f t="shared" si="110"/>
        <v>0</v>
      </c>
      <c r="DZ48" s="2">
        <f t="shared" si="110"/>
        <v>0</v>
      </c>
      <c r="EA48" s="2">
        <f t="shared" si="110"/>
        <v>0</v>
      </c>
      <c r="EB48" s="2">
        <f t="shared" si="110"/>
        <v>0</v>
      </c>
      <c r="EC48" s="2">
        <f t="shared" ref="EC48:FH48" si="111">IF(AND(EC47&gt;EC30,EC30&gt;0),1,0)</f>
        <v>0</v>
      </c>
      <c r="ED48" s="2">
        <f t="shared" si="111"/>
        <v>0</v>
      </c>
      <c r="EE48" s="2">
        <f t="shared" si="111"/>
        <v>0</v>
      </c>
      <c r="EF48" s="2">
        <f t="shared" si="111"/>
        <v>0</v>
      </c>
      <c r="EG48" s="2">
        <f t="shared" si="111"/>
        <v>0</v>
      </c>
      <c r="EH48" s="2">
        <f t="shared" si="111"/>
        <v>0</v>
      </c>
      <c r="EI48" s="2">
        <f t="shared" si="111"/>
        <v>0</v>
      </c>
      <c r="EJ48" s="2">
        <f t="shared" si="111"/>
        <v>0</v>
      </c>
      <c r="EK48" s="2">
        <f t="shared" si="111"/>
        <v>0</v>
      </c>
      <c r="EL48" s="2">
        <f t="shared" si="111"/>
        <v>0</v>
      </c>
      <c r="EM48" s="2">
        <f t="shared" si="111"/>
        <v>0</v>
      </c>
      <c r="EN48" s="2">
        <f t="shared" si="111"/>
        <v>0</v>
      </c>
      <c r="EO48" s="2">
        <f t="shared" si="111"/>
        <v>0</v>
      </c>
      <c r="EP48" s="2">
        <f t="shared" si="111"/>
        <v>0</v>
      </c>
      <c r="EQ48" s="2">
        <f t="shared" si="111"/>
        <v>0</v>
      </c>
      <c r="ER48" s="2">
        <f t="shared" si="111"/>
        <v>0</v>
      </c>
      <c r="ES48" s="2">
        <f t="shared" si="111"/>
        <v>0</v>
      </c>
      <c r="ET48" s="2">
        <f t="shared" si="111"/>
        <v>0</v>
      </c>
      <c r="EU48" s="2">
        <f t="shared" si="111"/>
        <v>0</v>
      </c>
      <c r="EV48" s="2">
        <f t="shared" si="111"/>
        <v>0</v>
      </c>
      <c r="EW48" s="2">
        <f t="shared" si="111"/>
        <v>0</v>
      </c>
      <c r="EX48" s="2">
        <f t="shared" si="111"/>
        <v>0</v>
      </c>
      <c r="EY48" s="2">
        <f t="shared" si="111"/>
        <v>0</v>
      </c>
      <c r="EZ48" s="2">
        <f t="shared" si="111"/>
        <v>0</v>
      </c>
      <c r="FA48" s="2">
        <f t="shared" si="111"/>
        <v>0</v>
      </c>
      <c r="FB48" s="2">
        <f t="shared" si="111"/>
        <v>0</v>
      </c>
      <c r="FC48" s="2">
        <f t="shared" si="111"/>
        <v>0</v>
      </c>
      <c r="FD48" s="2">
        <f t="shared" si="111"/>
        <v>0</v>
      </c>
      <c r="FE48" s="2">
        <f t="shared" si="111"/>
        <v>0</v>
      </c>
      <c r="FF48" s="2">
        <f t="shared" si="111"/>
        <v>0</v>
      </c>
      <c r="FG48" s="2">
        <f t="shared" si="111"/>
        <v>0</v>
      </c>
      <c r="FH48" s="2">
        <f t="shared" si="111"/>
        <v>0</v>
      </c>
      <c r="FI48" s="2">
        <f t="shared" ref="FI48:FK48" si="112">IF(AND(FI47&gt;FI30,FI30&gt;0),1,0)</f>
        <v>0</v>
      </c>
      <c r="FJ48" s="2">
        <f t="shared" si="112"/>
        <v>0</v>
      </c>
      <c r="FK48" s="2">
        <f t="shared" si="112"/>
        <v>0</v>
      </c>
    </row>
    <row r="49" spans="2:167" x14ac:dyDescent="0.35">
      <c r="B49" t="s">
        <v>103</v>
      </c>
      <c r="E49">
        <f t="shared" ref="E49:AJ49" si="113">IF(in_pgto_modo="Parcelado",IF(COUNT(parc_data)&gt;0,SUMIFS(parc_valor,parc_data,"&gt;"&amp;EOMONTH(E$2,-1),parc_data,"&lt;="&amp;E$2),IF(AND((YEAR(E$2)*12+MONTH(E$2))-(YEAR(in_data_inicio)*12+MONTH(in_data_inicio))&gt;=0,(YEAR(E$2)*12+MONTH(E$2))-(YEAR(in_data_inicio)*12+MONTH(in_data_inicio))&lt;=in_n_parcelas-1),in_valor_pagar/in_n_parcelas,0)),IF((YEAR(E$2)*12+MONTH(E$2))-(YEAR(in_data_inicio)*12+MONTH(in_data_inicio))=0,in_valor_pagar,0))</f>
        <v>0</v>
      </c>
      <c r="F49">
        <f t="shared" si="113"/>
        <v>0</v>
      </c>
      <c r="G49">
        <f t="shared" si="113"/>
        <v>0</v>
      </c>
      <c r="H49">
        <f t="shared" si="113"/>
        <v>0</v>
      </c>
      <c r="I49">
        <f t="shared" si="113"/>
        <v>0</v>
      </c>
      <c r="J49">
        <f t="shared" si="113"/>
        <v>0</v>
      </c>
      <c r="K49">
        <f t="shared" si="113"/>
        <v>0</v>
      </c>
      <c r="L49">
        <f t="shared" si="113"/>
        <v>0</v>
      </c>
      <c r="M49">
        <f t="shared" si="113"/>
        <v>0</v>
      </c>
      <c r="N49">
        <f t="shared" si="113"/>
        <v>0</v>
      </c>
      <c r="O49">
        <f t="shared" si="113"/>
        <v>0</v>
      </c>
      <c r="P49">
        <f t="shared" si="113"/>
        <v>0</v>
      </c>
      <c r="Q49">
        <f t="shared" si="113"/>
        <v>0</v>
      </c>
      <c r="R49">
        <f t="shared" si="113"/>
        <v>0</v>
      </c>
      <c r="S49">
        <f t="shared" si="113"/>
        <v>0</v>
      </c>
      <c r="T49">
        <f t="shared" si="113"/>
        <v>0</v>
      </c>
      <c r="U49">
        <f t="shared" si="113"/>
        <v>0</v>
      </c>
      <c r="V49">
        <f t="shared" si="113"/>
        <v>0</v>
      </c>
      <c r="W49">
        <f t="shared" si="113"/>
        <v>0</v>
      </c>
      <c r="X49">
        <f t="shared" si="113"/>
        <v>0</v>
      </c>
      <c r="Y49">
        <f t="shared" si="113"/>
        <v>0</v>
      </c>
      <c r="Z49">
        <f t="shared" si="113"/>
        <v>0</v>
      </c>
      <c r="AA49">
        <f t="shared" si="113"/>
        <v>0</v>
      </c>
      <c r="AB49">
        <f t="shared" si="113"/>
        <v>0</v>
      </c>
      <c r="AC49">
        <f t="shared" si="113"/>
        <v>0</v>
      </c>
      <c r="AD49">
        <f t="shared" si="113"/>
        <v>0</v>
      </c>
      <c r="AE49">
        <f t="shared" si="113"/>
        <v>0</v>
      </c>
      <c r="AF49">
        <f t="shared" si="113"/>
        <v>0</v>
      </c>
      <c r="AG49">
        <f t="shared" si="113"/>
        <v>0</v>
      </c>
      <c r="AH49">
        <f t="shared" si="113"/>
        <v>0</v>
      </c>
      <c r="AI49">
        <f t="shared" si="113"/>
        <v>0</v>
      </c>
      <c r="AJ49">
        <f t="shared" si="113"/>
        <v>0</v>
      </c>
      <c r="AK49">
        <f t="shared" ref="AK49:BP49" si="114">IF(in_pgto_modo="Parcelado",IF(COUNT(parc_data)&gt;0,SUMIFS(parc_valor,parc_data,"&gt;"&amp;EOMONTH(AK$2,-1),parc_data,"&lt;="&amp;AK$2),IF(AND((YEAR(AK$2)*12+MONTH(AK$2))-(YEAR(in_data_inicio)*12+MONTH(in_data_inicio))&gt;=0,(YEAR(AK$2)*12+MONTH(AK$2))-(YEAR(in_data_inicio)*12+MONTH(in_data_inicio))&lt;=in_n_parcelas-1),in_valor_pagar/in_n_parcelas,0)),IF((YEAR(AK$2)*12+MONTH(AK$2))-(YEAR(in_data_inicio)*12+MONTH(in_data_inicio))=0,in_valor_pagar,0))</f>
        <v>0</v>
      </c>
      <c r="AL49">
        <f t="shared" si="114"/>
        <v>0</v>
      </c>
      <c r="AM49">
        <f t="shared" si="114"/>
        <v>0</v>
      </c>
      <c r="AN49">
        <f t="shared" si="114"/>
        <v>0</v>
      </c>
      <c r="AO49">
        <f t="shared" si="114"/>
        <v>0</v>
      </c>
      <c r="AP49">
        <f t="shared" si="114"/>
        <v>0</v>
      </c>
      <c r="AQ49">
        <f t="shared" si="114"/>
        <v>0</v>
      </c>
      <c r="AR49">
        <f t="shared" si="114"/>
        <v>0</v>
      </c>
      <c r="AS49">
        <f t="shared" si="114"/>
        <v>0</v>
      </c>
      <c r="AT49">
        <f t="shared" si="114"/>
        <v>0</v>
      </c>
      <c r="AU49">
        <f t="shared" si="114"/>
        <v>0</v>
      </c>
      <c r="AV49">
        <f t="shared" si="114"/>
        <v>0</v>
      </c>
      <c r="AW49">
        <f t="shared" si="114"/>
        <v>0</v>
      </c>
      <c r="AX49">
        <f t="shared" si="114"/>
        <v>0</v>
      </c>
      <c r="AY49">
        <f t="shared" si="114"/>
        <v>0</v>
      </c>
      <c r="AZ49">
        <f t="shared" si="114"/>
        <v>0</v>
      </c>
      <c r="BA49">
        <f t="shared" si="114"/>
        <v>0</v>
      </c>
      <c r="BB49">
        <f t="shared" si="114"/>
        <v>0</v>
      </c>
      <c r="BC49">
        <f t="shared" si="114"/>
        <v>0</v>
      </c>
      <c r="BD49">
        <f t="shared" si="114"/>
        <v>0</v>
      </c>
      <c r="BE49">
        <f t="shared" si="114"/>
        <v>0</v>
      </c>
      <c r="BF49">
        <f t="shared" si="114"/>
        <v>0</v>
      </c>
      <c r="BG49">
        <f t="shared" si="114"/>
        <v>0</v>
      </c>
      <c r="BH49">
        <f t="shared" si="114"/>
        <v>0</v>
      </c>
      <c r="BI49">
        <f t="shared" si="114"/>
        <v>0</v>
      </c>
      <c r="BJ49">
        <f t="shared" si="114"/>
        <v>0</v>
      </c>
      <c r="BK49">
        <f t="shared" si="114"/>
        <v>0</v>
      </c>
      <c r="BL49">
        <f t="shared" si="114"/>
        <v>0</v>
      </c>
      <c r="BM49">
        <f t="shared" si="114"/>
        <v>0</v>
      </c>
      <c r="BN49">
        <f t="shared" si="114"/>
        <v>0</v>
      </c>
      <c r="BO49">
        <f t="shared" si="114"/>
        <v>0</v>
      </c>
      <c r="BP49">
        <f t="shared" si="114"/>
        <v>0</v>
      </c>
      <c r="BQ49">
        <f t="shared" ref="BQ49:CV49" si="115">IF(in_pgto_modo="Parcelado",IF(COUNT(parc_data)&gt;0,SUMIFS(parc_valor,parc_data,"&gt;"&amp;EOMONTH(BQ$2,-1),parc_data,"&lt;="&amp;BQ$2),IF(AND((YEAR(BQ$2)*12+MONTH(BQ$2))-(YEAR(in_data_inicio)*12+MONTH(in_data_inicio))&gt;=0,(YEAR(BQ$2)*12+MONTH(BQ$2))-(YEAR(in_data_inicio)*12+MONTH(in_data_inicio))&lt;=in_n_parcelas-1),in_valor_pagar/in_n_parcelas,0)),IF((YEAR(BQ$2)*12+MONTH(BQ$2))-(YEAR(in_data_inicio)*12+MONTH(in_data_inicio))=0,in_valor_pagar,0))</f>
        <v>0</v>
      </c>
      <c r="BR49">
        <f t="shared" si="115"/>
        <v>0</v>
      </c>
      <c r="BS49">
        <f t="shared" si="115"/>
        <v>0</v>
      </c>
      <c r="BT49">
        <f t="shared" si="115"/>
        <v>0</v>
      </c>
      <c r="BU49">
        <f t="shared" si="115"/>
        <v>0</v>
      </c>
      <c r="BV49">
        <f t="shared" si="115"/>
        <v>0</v>
      </c>
      <c r="BW49">
        <f t="shared" si="115"/>
        <v>0</v>
      </c>
      <c r="BX49">
        <f t="shared" si="115"/>
        <v>0</v>
      </c>
      <c r="BY49">
        <f t="shared" si="115"/>
        <v>0</v>
      </c>
      <c r="BZ49">
        <f t="shared" si="115"/>
        <v>0</v>
      </c>
      <c r="CA49">
        <f t="shared" si="115"/>
        <v>0</v>
      </c>
      <c r="CB49">
        <f t="shared" si="115"/>
        <v>0</v>
      </c>
      <c r="CC49">
        <f t="shared" si="115"/>
        <v>0</v>
      </c>
      <c r="CD49">
        <f t="shared" si="115"/>
        <v>0</v>
      </c>
      <c r="CE49">
        <f t="shared" si="115"/>
        <v>0</v>
      </c>
      <c r="CF49">
        <f t="shared" si="115"/>
        <v>0</v>
      </c>
      <c r="CG49">
        <f t="shared" si="115"/>
        <v>0</v>
      </c>
      <c r="CH49">
        <f t="shared" si="115"/>
        <v>0</v>
      </c>
      <c r="CI49">
        <f t="shared" si="115"/>
        <v>0</v>
      </c>
      <c r="CJ49">
        <f t="shared" si="115"/>
        <v>0</v>
      </c>
      <c r="CK49">
        <f t="shared" si="115"/>
        <v>0</v>
      </c>
      <c r="CL49">
        <f t="shared" si="115"/>
        <v>0</v>
      </c>
      <c r="CM49">
        <f t="shared" si="115"/>
        <v>0</v>
      </c>
      <c r="CN49">
        <f t="shared" si="115"/>
        <v>0</v>
      </c>
      <c r="CO49">
        <f t="shared" si="115"/>
        <v>0</v>
      </c>
      <c r="CP49">
        <f t="shared" si="115"/>
        <v>0</v>
      </c>
      <c r="CQ49">
        <f t="shared" si="115"/>
        <v>0</v>
      </c>
      <c r="CR49">
        <f t="shared" si="115"/>
        <v>0</v>
      </c>
      <c r="CS49">
        <f t="shared" si="115"/>
        <v>0</v>
      </c>
      <c r="CT49">
        <f t="shared" si="115"/>
        <v>0</v>
      </c>
      <c r="CU49">
        <f t="shared" si="115"/>
        <v>0</v>
      </c>
      <c r="CV49">
        <f t="shared" si="115"/>
        <v>0</v>
      </c>
      <c r="CW49">
        <f t="shared" ref="CW49:EB49" si="116">IF(in_pgto_modo="Parcelado",IF(COUNT(parc_data)&gt;0,SUMIFS(parc_valor,parc_data,"&gt;"&amp;EOMONTH(CW$2,-1),parc_data,"&lt;="&amp;CW$2),IF(AND((YEAR(CW$2)*12+MONTH(CW$2))-(YEAR(in_data_inicio)*12+MONTH(in_data_inicio))&gt;=0,(YEAR(CW$2)*12+MONTH(CW$2))-(YEAR(in_data_inicio)*12+MONTH(in_data_inicio))&lt;=in_n_parcelas-1),in_valor_pagar/in_n_parcelas,0)),IF((YEAR(CW$2)*12+MONTH(CW$2))-(YEAR(in_data_inicio)*12+MONTH(in_data_inicio))=0,in_valor_pagar,0))</f>
        <v>0</v>
      </c>
      <c r="CX49">
        <f t="shared" si="116"/>
        <v>0</v>
      </c>
      <c r="CY49">
        <f t="shared" si="116"/>
        <v>0</v>
      </c>
      <c r="CZ49">
        <f t="shared" si="116"/>
        <v>0</v>
      </c>
      <c r="DA49">
        <f t="shared" si="116"/>
        <v>0</v>
      </c>
      <c r="DB49">
        <f t="shared" si="116"/>
        <v>0</v>
      </c>
      <c r="DC49">
        <f t="shared" si="116"/>
        <v>0</v>
      </c>
      <c r="DD49">
        <f t="shared" si="116"/>
        <v>0</v>
      </c>
      <c r="DE49">
        <f t="shared" si="116"/>
        <v>0</v>
      </c>
      <c r="DF49">
        <f t="shared" si="116"/>
        <v>0</v>
      </c>
      <c r="DG49">
        <f t="shared" si="116"/>
        <v>0</v>
      </c>
      <c r="DH49">
        <f t="shared" si="116"/>
        <v>0</v>
      </c>
      <c r="DI49">
        <f t="shared" si="116"/>
        <v>0</v>
      </c>
      <c r="DJ49">
        <f t="shared" si="116"/>
        <v>0</v>
      </c>
      <c r="DK49">
        <f t="shared" si="116"/>
        <v>0</v>
      </c>
      <c r="DL49">
        <f t="shared" si="116"/>
        <v>0</v>
      </c>
      <c r="DM49">
        <f t="shared" si="116"/>
        <v>0</v>
      </c>
      <c r="DN49">
        <f t="shared" si="116"/>
        <v>0</v>
      </c>
      <c r="DO49">
        <f t="shared" si="116"/>
        <v>0</v>
      </c>
      <c r="DP49">
        <f t="shared" si="116"/>
        <v>0</v>
      </c>
      <c r="DQ49">
        <f t="shared" si="116"/>
        <v>0</v>
      </c>
      <c r="DR49">
        <f t="shared" si="116"/>
        <v>0</v>
      </c>
      <c r="DS49">
        <f t="shared" si="116"/>
        <v>0</v>
      </c>
      <c r="DT49">
        <f t="shared" si="116"/>
        <v>0</v>
      </c>
      <c r="DU49">
        <f t="shared" si="116"/>
        <v>0</v>
      </c>
      <c r="DV49">
        <f t="shared" si="116"/>
        <v>0</v>
      </c>
      <c r="DW49">
        <f t="shared" si="116"/>
        <v>0</v>
      </c>
      <c r="DX49">
        <f t="shared" si="116"/>
        <v>0</v>
      </c>
      <c r="DY49">
        <f t="shared" si="116"/>
        <v>0</v>
      </c>
      <c r="DZ49">
        <f t="shared" si="116"/>
        <v>0</v>
      </c>
      <c r="EA49">
        <f t="shared" si="116"/>
        <v>0</v>
      </c>
      <c r="EB49">
        <f t="shared" si="116"/>
        <v>0</v>
      </c>
      <c r="EC49">
        <f t="shared" ref="EC49:FK49" si="117">IF(in_pgto_modo="Parcelado",IF(COUNT(parc_data)&gt;0,SUMIFS(parc_valor,parc_data,"&gt;"&amp;EOMONTH(EC$2,-1),parc_data,"&lt;="&amp;EC$2),IF(AND((YEAR(EC$2)*12+MONTH(EC$2))-(YEAR(in_data_inicio)*12+MONTH(in_data_inicio))&gt;=0,(YEAR(EC$2)*12+MONTH(EC$2))-(YEAR(in_data_inicio)*12+MONTH(in_data_inicio))&lt;=in_n_parcelas-1),in_valor_pagar/in_n_parcelas,0)),IF((YEAR(EC$2)*12+MONTH(EC$2))-(YEAR(in_data_inicio)*12+MONTH(in_data_inicio))=0,in_valor_pagar,0))</f>
        <v>0</v>
      </c>
      <c r="ED49">
        <f t="shared" si="117"/>
        <v>0</v>
      </c>
      <c r="EE49">
        <f t="shared" si="117"/>
        <v>0</v>
      </c>
      <c r="EF49">
        <f t="shared" si="117"/>
        <v>0</v>
      </c>
      <c r="EG49">
        <f t="shared" si="117"/>
        <v>0</v>
      </c>
      <c r="EH49">
        <f t="shared" si="117"/>
        <v>0</v>
      </c>
      <c r="EI49">
        <f t="shared" si="117"/>
        <v>0</v>
      </c>
      <c r="EJ49">
        <f t="shared" si="117"/>
        <v>0</v>
      </c>
      <c r="EK49">
        <f t="shared" si="117"/>
        <v>0</v>
      </c>
      <c r="EL49">
        <f t="shared" si="117"/>
        <v>0</v>
      </c>
      <c r="EM49">
        <f t="shared" si="117"/>
        <v>0</v>
      </c>
      <c r="EN49">
        <f t="shared" si="117"/>
        <v>0</v>
      </c>
      <c r="EO49">
        <f t="shared" si="117"/>
        <v>0</v>
      </c>
      <c r="EP49">
        <f t="shared" si="117"/>
        <v>0</v>
      </c>
      <c r="EQ49">
        <f t="shared" si="117"/>
        <v>0</v>
      </c>
      <c r="ER49">
        <f t="shared" si="117"/>
        <v>0</v>
      </c>
      <c r="ES49">
        <f t="shared" si="117"/>
        <v>0</v>
      </c>
      <c r="ET49">
        <f t="shared" si="117"/>
        <v>0</v>
      </c>
      <c r="EU49">
        <f t="shared" si="117"/>
        <v>0</v>
      </c>
      <c r="EV49">
        <f t="shared" si="117"/>
        <v>0</v>
      </c>
      <c r="EW49">
        <f t="shared" si="117"/>
        <v>0</v>
      </c>
      <c r="EX49">
        <f t="shared" si="117"/>
        <v>0</v>
      </c>
      <c r="EY49">
        <f t="shared" si="117"/>
        <v>0</v>
      </c>
      <c r="EZ49">
        <f t="shared" si="117"/>
        <v>0</v>
      </c>
      <c r="FA49">
        <f t="shared" si="117"/>
        <v>0</v>
      </c>
      <c r="FB49">
        <f t="shared" si="117"/>
        <v>0</v>
      </c>
      <c r="FC49">
        <f t="shared" si="117"/>
        <v>0</v>
      </c>
      <c r="FD49">
        <f t="shared" si="117"/>
        <v>0</v>
      </c>
      <c r="FE49">
        <f t="shared" si="117"/>
        <v>0</v>
      </c>
      <c r="FF49">
        <f t="shared" si="117"/>
        <v>0</v>
      </c>
      <c r="FG49">
        <f t="shared" si="117"/>
        <v>0</v>
      </c>
      <c r="FH49">
        <f t="shared" si="117"/>
        <v>0</v>
      </c>
      <c r="FI49">
        <f t="shared" si="117"/>
        <v>0</v>
      </c>
      <c r="FJ49">
        <f t="shared" si="117"/>
        <v>0</v>
      </c>
      <c r="FK49">
        <f t="shared" si="117"/>
        <v>0</v>
      </c>
    </row>
    <row r="50" spans="2:167" x14ac:dyDescent="0.35">
      <c r="CQ50" s="40"/>
    </row>
    <row r="52" spans="2:167" x14ac:dyDescent="0.35">
      <c r="B52" s="32"/>
      <c r="C52" s="32"/>
      <c r="D52" s="30"/>
    </row>
    <row r="53" spans="2:167" x14ac:dyDescent="0.35">
      <c r="B53" s="32"/>
      <c r="C53" s="32"/>
      <c r="D53" s="30"/>
    </row>
    <row r="54" spans="2:167" x14ac:dyDescent="0.35">
      <c r="B54" s="32"/>
      <c r="C54" s="32"/>
      <c r="D54" s="30"/>
    </row>
    <row r="55" spans="2:167" x14ac:dyDescent="0.35">
      <c r="B55" s="32"/>
      <c r="C55" s="32"/>
      <c r="D55" s="30"/>
    </row>
    <row r="57" spans="2:167" x14ac:dyDescent="0.35">
      <c r="B57" s="22"/>
      <c r="C57" s="22"/>
    </row>
    <row r="58" spans="2:167" x14ac:dyDescent="0.35">
      <c r="B58" s="22"/>
      <c r="C58" s="22"/>
    </row>
    <row r="59" spans="2:167" x14ac:dyDescent="0.35">
      <c r="B59" s="22"/>
      <c r="C59" s="22"/>
    </row>
    <row r="60" spans="2:167" x14ac:dyDescent="0.35">
      <c r="B60" s="22"/>
      <c r="C60" s="22"/>
    </row>
    <row r="61" spans="2:167" x14ac:dyDescent="0.35">
      <c r="B61" s="22"/>
      <c r="C61" s="22"/>
    </row>
    <row r="63" spans="2:167" x14ac:dyDescent="0.35">
      <c r="B63" s="2" t="s">
        <v>104</v>
      </c>
      <c r="E63" s="26">
        <f t="shared" ref="E63:AJ63" si="118">MAX(IF(in_eo_on="Sim",1,0)*IF(EOMONTH($C$17,$C$18)=E$2,SUMIFS(eo_pct,eo_de,"&lt;="&amp;(E$1-1),eo_ate,"&gt;="&amp;(E$1-1))*sens_eof,0)*(IF($D$21="Sim",E29*$C$21,E29)-E47),0)</f>
        <v>0</v>
      </c>
      <c r="F63" s="26">
        <f t="shared" si="118"/>
        <v>0</v>
      </c>
      <c r="G63" s="26">
        <f t="shared" si="118"/>
        <v>0</v>
      </c>
      <c r="H63" s="26">
        <f t="shared" si="118"/>
        <v>0</v>
      </c>
      <c r="I63" s="26">
        <f t="shared" si="118"/>
        <v>0</v>
      </c>
      <c r="J63" s="26">
        <f t="shared" si="118"/>
        <v>0</v>
      </c>
      <c r="K63" s="26">
        <f t="shared" si="118"/>
        <v>0</v>
      </c>
      <c r="L63" s="26">
        <f t="shared" si="118"/>
        <v>0</v>
      </c>
      <c r="M63" s="26">
        <f t="shared" si="118"/>
        <v>0</v>
      </c>
      <c r="N63" s="26">
        <f t="shared" si="118"/>
        <v>0</v>
      </c>
      <c r="O63" s="26">
        <f t="shared" si="118"/>
        <v>0</v>
      </c>
      <c r="P63" s="26">
        <f t="shared" si="118"/>
        <v>0</v>
      </c>
      <c r="Q63" s="26">
        <f t="shared" si="118"/>
        <v>0</v>
      </c>
      <c r="R63" s="26">
        <f t="shared" si="118"/>
        <v>0</v>
      </c>
      <c r="S63" s="26">
        <f t="shared" si="118"/>
        <v>0</v>
      </c>
      <c r="T63" s="26">
        <f t="shared" si="118"/>
        <v>0</v>
      </c>
      <c r="U63" s="26">
        <f t="shared" si="118"/>
        <v>0</v>
      </c>
      <c r="V63" s="26">
        <f t="shared" si="118"/>
        <v>0</v>
      </c>
      <c r="W63" s="26">
        <f t="shared" si="118"/>
        <v>0</v>
      </c>
      <c r="X63" s="26">
        <f t="shared" si="118"/>
        <v>0</v>
      </c>
      <c r="Y63" s="26">
        <f t="shared" si="118"/>
        <v>0</v>
      </c>
      <c r="Z63" s="26">
        <f t="shared" si="118"/>
        <v>0</v>
      </c>
      <c r="AA63" s="26">
        <f t="shared" si="118"/>
        <v>0</v>
      </c>
      <c r="AB63" s="26">
        <f t="shared" si="118"/>
        <v>0</v>
      </c>
      <c r="AC63" s="26">
        <f t="shared" si="118"/>
        <v>0</v>
      </c>
      <c r="AD63" s="26">
        <f t="shared" si="118"/>
        <v>0</v>
      </c>
      <c r="AE63" s="26">
        <f t="shared" si="118"/>
        <v>0</v>
      </c>
      <c r="AF63" s="26">
        <f t="shared" si="118"/>
        <v>0</v>
      </c>
      <c r="AG63" s="26">
        <f t="shared" si="118"/>
        <v>0</v>
      </c>
      <c r="AH63" s="26">
        <f t="shared" si="118"/>
        <v>0</v>
      </c>
      <c r="AI63" s="26">
        <f t="shared" si="118"/>
        <v>0</v>
      </c>
      <c r="AJ63" s="26">
        <f t="shared" si="118"/>
        <v>0</v>
      </c>
      <c r="AK63" s="26">
        <f t="shared" ref="AK63:BP63" si="119">MAX(IF(in_eo_on="Sim",1,0)*IF(EOMONTH($C$17,$C$18)=AK$2,SUMIFS(eo_pct,eo_de,"&lt;="&amp;(AK$1-1),eo_ate,"&gt;="&amp;(AK$1-1))*sens_eof,0)*(IF($D$21="Sim",AK29*$C$21,AK29)-AK47),0)</f>
        <v>0</v>
      </c>
      <c r="AL63" s="26">
        <f t="shared" si="119"/>
        <v>0</v>
      </c>
      <c r="AM63" s="26">
        <f t="shared" si="119"/>
        <v>0</v>
      </c>
      <c r="AN63" s="26">
        <f t="shared" si="119"/>
        <v>0</v>
      </c>
      <c r="AO63" s="26">
        <f t="shared" si="119"/>
        <v>0</v>
      </c>
      <c r="AP63" s="26">
        <f t="shared" si="119"/>
        <v>0</v>
      </c>
      <c r="AQ63" s="26">
        <f t="shared" si="119"/>
        <v>0</v>
      </c>
      <c r="AR63" s="26">
        <f t="shared" si="119"/>
        <v>0</v>
      </c>
      <c r="AS63" s="26">
        <f t="shared" si="119"/>
        <v>0</v>
      </c>
      <c r="AT63" s="26">
        <f t="shared" si="119"/>
        <v>0</v>
      </c>
      <c r="AU63" s="26">
        <f t="shared" si="119"/>
        <v>0</v>
      </c>
      <c r="AV63" s="26">
        <f t="shared" si="119"/>
        <v>0</v>
      </c>
      <c r="AW63" s="26">
        <f t="shared" si="119"/>
        <v>0</v>
      </c>
      <c r="AX63" s="26">
        <f t="shared" si="119"/>
        <v>0</v>
      </c>
      <c r="AY63" s="26">
        <f t="shared" si="119"/>
        <v>0</v>
      </c>
      <c r="AZ63" s="26">
        <f t="shared" si="119"/>
        <v>0</v>
      </c>
      <c r="BA63" s="26">
        <f t="shared" si="119"/>
        <v>0</v>
      </c>
      <c r="BB63" s="26">
        <f t="shared" si="119"/>
        <v>0</v>
      </c>
      <c r="BC63" s="26">
        <f t="shared" si="119"/>
        <v>0</v>
      </c>
      <c r="BD63" s="26">
        <f t="shared" si="119"/>
        <v>0</v>
      </c>
      <c r="BE63" s="26">
        <f t="shared" si="119"/>
        <v>0</v>
      </c>
      <c r="BF63" s="26">
        <f t="shared" si="119"/>
        <v>0</v>
      </c>
      <c r="BG63" s="26">
        <f t="shared" si="119"/>
        <v>0</v>
      </c>
      <c r="BH63" s="26">
        <f t="shared" si="119"/>
        <v>0</v>
      </c>
      <c r="BI63" s="26">
        <f t="shared" si="119"/>
        <v>0</v>
      </c>
      <c r="BJ63" s="26">
        <f t="shared" si="119"/>
        <v>0</v>
      </c>
      <c r="BK63" s="26">
        <f t="shared" si="119"/>
        <v>0</v>
      </c>
      <c r="BL63" s="26">
        <f t="shared" si="119"/>
        <v>0</v>
      </c>
      <c r="BM63" s="26">
        <f t="shared" si="119"/>
        <v>0</v>
      </c>
      <c r="BN63" s="26">
        <f t="shared" si="119"/>
        <v>0</v>
      </c>
      <c r="BO63" s="26">
        <f t="shared" si="119"/>
        <v>0</v>
      </c>
      <c r="BP63" s="26">
        <f t="shared" si="119"/>
        <v>0</v>
      </c>
      <c r="BQ63" s="26">
        <f t="shared" ref="BQ63:CV63" si="120">MAX(IF(in_eo_on="Sim",1,0)*IF(EOMONTH($C$17,$C$18)=BQ$2,SUMIFS(eo_pct,eo_de,"&lt;="&amp;(BQ$1-1),eo_ate,"&gt;="&amp;(BQ$1-1))*sens_eof,0)*(IF($D$21="Sim",BQ29*$C$21,BQ29)-BQ47),0)</f>
        <v>0</v>
      </c>
      <c r="BR63" s="26">
        <f t="shared" si="120"/>
        <v>0</v>
      </c>
      <c r="BS63" s="26">
        <f t="shared" si="120"/>
        <v>0</v>
      </c>
      <c r="BT63" s="26">
        <f t="shared" si="120"/>
        <v>0</v>
      </c>
      <c r="BU63" s="26">
        <f t="shared" si="120"/>
        <v>0</v>
      </c>
      <c r="BV63" s="26">
        <f t="shared" si="120"/>
        <v>0</v>
      </c>
      <c r="BW63" s="26">
        <f t="shared" si="120"/>
        <v>0</v>
      </c>
      <c r="BX63" s="26">
        <f t="shared" si="120"/>
        <v>0</v>
      </c>
      <c r="BY63" s="26">
        <f t="shared" si="120"/>
        <v>0</v>
      </c>
      <c r="BZ63" s="26">
        <f t="shared" si="120"/>
        <v>0</v>
      </c>
      <c r="CA63" s="26">
        <f t="shared" si="120"/>
        <v>0</v>
      </c>
      <c r="CB63" s="26">
        <f t="shared" si="120"/>
        <v>0</v>
      </c>
      <c r="CC63" s="26">
        <f t="shared" si="120"/>
        <v>0</v>
      </c>
      <c r="CD63" s="26">
        <f t="shared" si="120"/>
        <v>0</v>
      </c>
      <c r="CE63" s="26">
        <f t="shared" si="120"/>
        <v>0</v>
      </c>
      <c r="CF63" s="26">
        <f t="shared" si="120"/>
        <v>0</v>
      </c>
      <c r="CG63" s="26">
        <f t="shared" si="120"/>
        <v>0</v>
      </c>
      <c r="CH63" s="26">
        <f t="shared" si="120"/>
        <v>0</v>
      </c>
      <c r="CI63" s="26">
        <f t="shared" si="120"/>
        <v>0</v>
      </c>
      <c r="CJ63" s="26">
        <f t="shared" si="120"/>
        <v>0</v>
      </c>
      <c r="CK63" s="26">
        <f t="shared" si="120"/>
        <v>0</v>
      </c>
      <c r="CL63" s="26">
        <f t="shared" si="120"/>
        <v>0</v>
      </c>
      <c r="CM63" s="26">
        <f t="shared" si="120"/>
        <v>0</v>
      </c>
      <c r="CN63" s="26">
        <f t="shared" si="120"/>
        <v>0</v>
      </c>
      <c r="CO63" s="26">
        <f t="shared" si="120"/>
        <v>0</v>
      </c>
      <c r="CP63" s="26">
        <f t="shared" si="120"/>
        <v>0</v>
      </c>
      <c r="CQ63" s="26">
        <f t="shared" si="120"/>
        <v>0</v>
      </c>
      <c r="CR63" s="26">
        <f t="shared" si="120"/>
        <v>0</v>
      </c>
      <c r="CS63" s="26">
        <f t="shared" si="120"/>
        <v>0</v>
      </c>
      <c r="CT63" s="26">
        <f t="shared" si="120"/>
        <v>0</v>
      </c>
      <c r="CU63" s="26">
        <f t="shared" si="120"/>
        <v>0</v>
      </c>
      <c r="CV63" s="26">
        <f t="shared" si="120"/>
        <v>0</v>
      </c>
      <c r="CW63" s="26">
        <f t="shared" ref="CW63:EB63" si="121">MAX(IF(in_eo_on="Sim",1,0)*IF(EOMONTH($C$17,$C$18)=CW$2,SUMIFS(eo_pct,eo_de,"&lt;="&amp;(CW$1-1),eo_ate,"&gt;="&amp;(CW$1-1))*sens_eof,0)*(IF($D$21="Sim",CW29*$C$21,CW29)-CW47),0)</f>
        <v>0</v>
      </c>
      <c r="CX63" s="26">
        <f t="shared" si="121"/>
        <v>0</v>
      </c>
      <c r="CY63" s="26">
        <f t="shared" si="121"/>
        <v>0</v>
      </c>
      <c r="CZ63" s="26">
        <f t="shared" si="121"/>
        <v>0</v>
      </c>
      <c r="DA63" s="26">
        <f t="shared" si="121"/>
        <v>0</v>
      </c>
      <c r="DB63" s="26">
        <f t="shared" si="121"/>
        <v>0</v>
      </c>
      <c r="DC63" s="26">
        <f t="shared" si="121"/>
        <v>0</v>
      </c>
      <c r="DD63" s="26">
        <f t="shared" si="121"/>
        <v>0</v>
      </c>
      <c r="DE63" s="26">
        <f t="shared" si="121"/>
        <v>0</v>
      </c>
      <c r="DF63" s="26">
        <f t="shared" si="121"/>
        <v>0</v>
      </c>
      <c r="DG63" s="26">
        <f t="shared" si="121"/>
        <v>0</v>
      </c>
      <c r="DH63" s="26">
        <f t="shared" si="121"/>
        <v>0</v>
      </c>
      <c r="DI63" s="26">
        <f t="shared" si="121"/>
        <v>0</v>
      </c>
      <c r="DJ63" s="26">
        <f t="shared" si="121"/>
        <v>0</v>
      </c>
      <c r="DK63" s="26">
        <f t="shared" si="121"/>
        <v>0</v>
      </c>
      <c r="DL63" s="26">
        <f t="shared" si="121"/>
        <v>0</v>
      </c>
      <c r="DM63" s="26">
        <f t="shared" si="121"/>
        <v>0</v>
      </c>
      <c r="DN63" s="26">
        <f t="shared" si="121"/>
        <v>0</v>
      </c>
      <c r="DO63" s="26">
        <f t="shared" si="121"/>
        <v>0</v>
      </c>
      <c r="DP63" s="26">
        <f t="shared" si="121"/>
        <v>0</v>
      </c>
      <c r="DQ63" s="26">
        <f t="shared" si="121"/>
        <v>0</v>
      </c>
      <c r="DR63" s="26">
        <f t="shared" si="121"/>
        <v>0</v>
      </c>
      <c r="DS63" s="26">
        <f t="shared" si="121"/>
        <v>0</v>
      </c>
      <c r="DT63" s="26">
        <f t="shared" si="121"/>
        <v>0</v>
      </c>
      <c r="DU63" s="26">
        <f t="shared" si="121"/>
        <v>0</v>
      </c>
      <c r="DV63" s="26">
        <f t="shared" si="121"/>
        <v>0</v>
      </c>
      <c r="DW63" s="26">
        <f t="shared" si="121"/>
        <v>0</v>
      </c>
      <c r="DX63" s="26">
        <f t="shared" si="121"/>
        <v>0</v>
      </c>
      <c r="DY63" s="26">
        <f t="shared" si="121"/>
        <v>0</v>
      </c>
      <c r="DZ63" s="26">
        <f t="shared" si="121"/>
        <v>0</v>
      </c>
      <c r="EA63" s="26">
        <f t="shared" si="121"/>
        <v>0</v>
      </c>
      <c r="EB63" s="26">
        <f t="shared" si="121"/>
        <v>0</v>
      </c>
      <c r="EC63" s="26">
        <f t="shared" ref="EC63:FK63" si="122">MAX(IF(in_eo_on="Sim",1,0)*IF(EOMONTH($C$17,$C$18)=EC$2,SUMIFS(eo_pct,eo_de,"&lt;="&amp;(EC$1-1),eo_ate,"&gt;="&amp;(EC$1-1))*sens_eof,0)*(IF($D$21="Sim",EC29*$C$21,EC29)-EC47),0)</f>
        <v>0</v>
      </c>
      <c r="ED63" s="26">
        <f t="shared" si="122"/>
        <v>0</v>
      </c>
      <c r="EE63" s="26">
        <f t="shared" si="122"/>
        <v>0</v>
      </c>
      <c r="EF63" s="26">
        <f t="shared" si="122"/>
        <v>0</v>
      </c>
      <c r="EG63" s="26">
        <f t="shared" si="122"/>
        <v>0</v>
      </c>
      <c r="EH63" s="26">
        <f t="shared" si="122"/>
        <v>0</v>
      </c>
      <c r="EI63" s="26">
        <f t="shared" si="122"/>
        <v>0</v>
      </c>
      <c r="EJ63" s="26">
        <f t="shared" si="122"/>
        <v>0</v>
      </c>
      <c r="EK63" s="26">
        <f t="shared" si="122"/>
        <v>0</v>
      </c>
      <c r="EL63" s="26">
        <f t="shared" si="122"/>
        <v>0</v>
      </c>
      <c r="EM63" s="26">
        <f t="shared" si="122"/>
        <v>0</v>
      </c>
      <c r="EN63" s="26">
        <f t="shared" si="122"/>
        <v>0</v>
      </c>
      <c r="EO63" s="26">
        <f t="shared" si="122"/>
        <v>0</v>
      </c>
      <c r="EP63" s="26">
        <f t="shared" si="122"/>
        <v>0</v>
      </c>
      <c r="EQ63" s="26">
        <f t="shared" si="122"/>
        <v>0</v>
      </c>
      <c r="ER63" s="26">
        <f t="shared" si="122"/>
        <v>0</v>
      </c>
      <c r="ES63" s="26">
        <f t="shared" si="122"/>
        <v>0</v>
      </c>
      <c r="ET63" s="26">
        <f t="shared" si="122"/>
        <v>0</v>
      </c>
      <c r="EU63" s="26">
        <f t="shared" si="122"/>
        <v>0</v>
      </c>
      <c r="EV63" s="26">
        <f t="shared" si="122"/>
        <v>0</v>
      </c>
      <c r="EW63" s="26">
        <f t="shared" si="122"/>
        <v>0</v>
      </c>
      <c r="EX63" s="26">
        <f t="shared" si="122"/>
        <v>0</v>
      </c>
      <c r="EY63" s="26">
        <f t="shared" si="122"/>
        <v>0</v>
      </c>
      <c r="EZ63" s="26">
        <f t="shared" si="122"/>
        <v>0</v>
      </c>
      <c r="FA63" s="26">
        <f t="shared" si="122"/>
        <v>0</v>
      </c>
      <c r="FB63" s="26">
        <f t="shared" si="122"/>
        <v>0</v>
      </c>
      <c r="FC63" s="26">
        <f t="shared" si="122"/>
        <v>0</v>
      </c>
      <c r="FD63" s="26">
        <f t="shared" si="122"/>
        <v>0</v>
      </c>
      <c r="FE63" s="26">
        <f t="shared" si="122"/>
        <v>0</v>
      </c>
      <c r="FF63" s="26">
        <f t="shared" si="122"/>
        <v>0</v>
      </c>
      <c r="FG63" s="26">
        <f t="shared" si="122"/>
        <v>0</v>
      </c>
      <c r="FH63" s="26">
        <f t="shared" si="122"/>
        <v>0</v>
      </c>
      <c r="FI63" s="26">
        <f t="shared" si="122"/>
        <v>0</v>
      </c>
      <c r="FJ63" s="26">
        <f t="shared" si="122"/>
        <v>0</v>
      </c>
      <c r="FK63" s="26">
        <f t="shared" si="122"/>
        <v>0</v>
      </c>
    </row>
    <row r="64" spans="2:167" x14ac:dyDescent="0.35">
      <c r="B64" s="2" t="s">
        <v>105</v>
      </c>
      <c r="C64" s="65">
        <f>in_eo2_valor</f>
        <v>0</v>
      </c>
      <c r="D64" s="2">
        <f>in_eo2_mes</f>
        <v>18</v>
      </c>
      <c r="E64" s="26">
        <f t="shared" ref="E64:AJ64" si="123">IF(in_eo_on="Sim",IF(E$1=$D$64,$C$64,0),0)</f>
        <v>0</v>
      </c>
      <c r="F64" s="26">
        <f t="shared" si="123"/>
        <v>0</v>
      </c>
      <c r="G64" s="26">
        <f t="shared" si="123"/>
        <v>0</v>
      </c>
      <c r="H64" s="26">
        <f t="shared" si="123"/>
        <v>0</v>
      </c>
      <c r="I64" s="26">
        <f t="shared" si="123"/>
        <v>0</v>
      </c>
      <c r="J64" s="26">
        <f t="shared" si="123"/>
        <v>0</v>
      </c>
      <c r="K64" s="26">
        <f t="shared" si="123"/>
        <v>0</v>
      </c>
      <c r="L64" s="26">
        <f t="shared" si="123"/>
        <v>0</v>
      </c>
      <c r="M64" s="26">
        <f t="shared" si="123"/>
        <v>0</v>
      </c>
      <c r="N64" s="26">
        <f t="shared" si="123"/>
        <v>0</v>
      </c>
      <c r="O64" s="26">
        <f t="shared" si="123"/>
        <v>0</v>
      </c>
      <c r="P64" s="26">
        <f t="shared" si="123"/>
        <v>0</v>
      </c>
      <c r="Q64" s="26">
        <f t="shared" si="123"/>
        <v>0</v>
      </c>
      <c r="R64" s="26">
        <f t="shared" si="123"/>
        <v>0</v>
      </c>
      <c r="S64" s="26">
        <f t="shared" si="123"/>
        <v>0</v>
      </c>
      <c r="T64" s="26">
        <f t="shared" si="123"/>
        <v>0</v>
      </c>
      <c r="U64" s="26">
        <f t="shared" si="123"/>
        <v>0</v>
      </c>
      <c r="V64" s="26">
        <f t="shared" si="123"/>
        <v>0</v>
      </c>
      <c r="W64" s="26">
        <f t="shared" si="123"/>
        <v>0</v>
      </c>
      <c r="X64" s="26">
        <f t="shared" si="123"/>
        <v>0</v>
      </c>
      <c r="Y64" s="26">
        <f t="shared" si="123"/>
        <v>0</v>
      </c>
      <c r="Z64" s="26">
        <f t="shared" si="123"/>
        <v>0</v>
      </c>
      <c r="AA64" s="26">
        <f t="shared" si="123"/>
        <v>0</v>
      </c>
      <c r="AB64" s="26">
        <f t="shared" si="123"/>
        <v>0</v>
      </c>
      <c r="AC64" s="26">
        <f t="shared" si="123"/>
        <v>0</v>
      </c>
      <c r="AD64" s="26">
        <f t="shared" si="123"/>
        <v>0</v>
      </c>
      <c r="AE64" s="26">
        <f t="shared" si="123"/>
        <v>0</v>
      </c>
      <c r="AF64" s="26">
        <f t="shared" si="123"/>
        <v>0</v>
      </c>
      <c r="AG64" s="26">
        <f t="shared" si="123"/>
        <v>0</v>
      </c>
      <c r="AH64" s="26">
        <f t="shared" si="123"/>
        <v>0</v>
      </c>
      <c r="AI64" s="26">
        <f t="shared" si="123"/>
        <v>0</v>
      </c>
      <c r="AJ64" s="26">
        <f t="shared" si="123"/>
        <v>0</v>
      </c>
      <c r="AK64" s="26">
        <f t="shared" ref="AK64:BP64" si="124">IF(in_eo_on="Sim",IF(AK$1=$D$64,$C$64,0),0)</f>
        <v>0</v>
      </c>
      <c r="AL64" s="26">
        <f t="shared" si="124"/>
        <v>0</v>
      </c>
      <c r="AM64" s="26">
        <f t="shared" si="124"/>
        <v>0</v>
      </c>
      <c r="AN64" s="26">
        <f t="shared" si="124"/>
        <v>0</v>
      </c>
      <c r="AO64" s="26">
        <f t="shared" si="124"/>
        <v>0</v>
      </c>
      <c r="AP64" s="26">
        <f t="shared" si="124"/>
        <v>0</v>
      </c>
      <c r="AQ64" s="26">
        <f t="shared" si="124"/>
        <v>0</v>
      </c>
      <c r="AR64" s="26">
        <f t="shared" si="124"/>
        <v>0</v>
      </c>
      <c r="AS64" s="26">
        <f t="shared" si="124"/>
        <v>0</v>
      </c>
      <c r="AT64" s="26">
        <f t="shared" si="124"/>
        <v>0</v>
      </c>
      <c r="AU64" s="26">
        <f t="shared" si="124"/>
        <v>0</v>
      </c>
      <c r="AV64" s="26">
        <f t="shared" si="124"/>
        <v>0</v>
      </c>
      <c r="AW64" s="26">
        <f t="shared" si="124"/>
        <v>0</v>
      </c>
      <c r="AX64" s="26">
        <f t="shared" si="124"/>
        <v>0</v>
      </c>
      <c r="AY64" s="26">
        <f t="shared" si="124"/>
        <v>0</v>
      </c>
      <c r="AZ64" s="26">
        <f t="shared" si="124"/>
        <v>0</v>
      </c>
      <c r="BA64" s="26">
        <f t="shared" si="124"/>
        <v>0</v>
      </c>
      <c r="BB64" s="26">
        <f t="shared" si="124"/>
        <v>0</v>
      </c>
      <c r="BC64" s="26">
        <f t="shared" si="124"/>
        <v>0</v>
      </c>
      <c r="BD64" s="26">
        <f t="shared" si="124"/>
        <v>0</v>
      </c>
      <c r="BE64" s="26">
        <f t="shared" si="124"/>
        <v>0</v>
      </c>
      <c r="BF64" s="26">
        <f t="shared" si="124"/>
        <v>0</v>
      </c>
      <c r="BG64" s="26">
        <f t="shared" si="124"/>
        <v>0</v>
      </c>
      <c r="BH64" s="26">
        <f t="shared" si="124"/>
        <v>0</v>
      </c>
      <c r="BI64" s="26">
        <f t="shared" si="124"/>
        <v>0</v>
      </c>
      <c r="BJ64" s="26">
        <f t="shared" si="124"/>
        <v>0</v>
      </c>
      <c r="BK64" s="26">
        <f t="shared" si="124"/>
        <v>0</v>
      </c>
      <c r="BL64" s="26">
        <f t="shared" si="124"/>
        <v>0</v>
      </c>
      <c r="BM64" s="26">
        <f t="shared" si="124"/>
        <v>0</v>
      </c>
      <c r="BN64" s="26">
        <f t="shared" si="124"/>
        <v>0</v>
      </c>
      <c r="BO64" s="26">
        <f t="shared" si="124"/>
        <v>0</v>
      </c>
      <c r="BP64" s="26">
        <f t="shared" si="124"/>
        <v>0</v>
      </c>
      <c r="BQ64" s="26">
        <f t="shared" ref="BQ64:CV64" si="125">IF(in_eo_on="Sim",IF(BQ$1=$D$64,$C$64,0),0)</f>
        <v>0</v>
      </c>
      <c r="BR64" s="26">
        <f t="shared" si="125"/>
        <v>0</v>
      </c>
      <c r="BS64" s="26">
        <f t="shared" si="125"/>
        <v>0</v>
      </c>
      <c r="BT64" s="26">
        <f t="shared" si="125"/>
        <v>0</v>
      </c>
      <c r="BU64" s="26">
        <f t="shared" si="125"/>
        <v>0</v>
      </c>
      <c r="BV64" s="26">
        <f t="shared" si="125"/>
        <v>0</v>
      </c>
      <c r="BW64" s="26">
        <f t="shared" si="125"/>
        <v>0</v>
      </c>
      <c r="BX64" s="26">
        <f t="shared" si="125"/>
        <v>0</v>
      </c>
      <c r="BY64" s="26">
        <f t="shared" si="125"/>
        <v>0</v>
      </c>
      <c r="BZ64" s="26">
        <f t="shared" si="125"/>
        <v>0</v>
      </c>
      <c r="CA64" s="26">
        <f t="shared" si="125"/>
        <v>0</v>
      </c>
      <c r="CB64" s="26">
        <f t="shared" si="125"/>
        <v>0</v>
      </c>
      <c r="CC64" s="26">
        <f t="shared" si="125"/>
        <v>0</v>
      </c>
      <c r="CD64" s="26">
        <f t="shared" si="125"/>
        <v>0</v>
      </c>
      <c r="CE64" s="26">
        <f t="shared" si="125"/>
        <v>0</v>
      </c>
      <c r="CF64" s="26">
        <f t="shared" si="125"/>
        <v>0</v>
      </c>
      <c r="CG64" s="26">
        <f t="shared" si="125"/>
        <v>0</v>
      </c>
      <c r="CH64" s="26">
        <f t="shared" si="125"/>
        <v>0</v>
      </c>
      <c r="CI64" s="26">
        <f t="shared" si="125"/>
        <v>0</v>
      </c>
      <c r="CJ64" s="26">
        <f t="shared" si="125"/>
        <v>0</v>
      </c>
      <c r="CK64" s="26">
        <f t="shared" si="125"/>
        <v>0</v>
      </c>
      <c r="CL64" s="26">
        <f t="shared" si="125"/>
        <v>0</v>
      </c>
      <c r="CM64" s="26">
        <f t="shared" si="125"/>
        <v>0</v>
      </c>
      <c r="CN64" s="26">
        <f t="shared" si="125"/>
        <v>0</v>
      </c>
      <c r="CO64" s="26">
        <f t="shared" si="125"/>
        <v>0</v>
      </c>
      <c r="CP64" s="26">
        <f t="shared" si="125"/>
        <v>0</v>
      </c>
      <c r="CQ64" s="26">
        <f t="shared" si="125"/>
        <v>0</v>
      </c>
      <c r="CR64" s="26">
        <f t="shared" si="125"/>
        <v>0</v>
      </c>
      <c r="CS64" s="26">
        <f t="shared" si="125"/>
        <v>0</v>
      </c>
      <c r="CT64" s="26">
        <f t="shared" si="125"/>
        <v>0</v>
      </c>
      <c r="CU64" s="26">
        <f t="shared" si="125"/>
        <v>0</v>
      </c>
      <c r="CV64" s="26">
        <f t="shared" si="125"/>
        <v>0</v>
      </c>
      <c r="CW64" s="26">
        <f t="shared" ref="CW64:EB64" si="126">IF(in_eo_on="Sim",IF(CW$1=$D$64,$C$64,0),0)</f>
        <v>0</v>
      </c>
      <c r="CX64" s="26">
        <f t="shared" si="126"/>
        <v>0</v>
      </c>
      <c r="CY64" s="26">
        <f t="shared" si="126"/>
        <v>0</v>
      </c>
      <c r="CZ64" s="26">
        <f t="shared" si="126"/>
        <v>0</v>
      </c>
      <c r="DA64" s="26">
        <f t="shared" si="126"/>
        <v>0</v>
      </c>
      <c r="DB64" s="26">
        <f t="shared" si="126"/>
        <v>0</v>
      </c>
      <c r="DC64" s="26">
        <f t="shared" si="126"/>
        <v>0</v>
      </c>
      <c r="DD64" s="26">
        <f t="shared" si="126"/>
        <v>0</v>
      </c>
      <c r="DE64" s="26">
        <f t="shared" si="126"/>
        <v>0</v>
      </c>
      <c r="DF64" s="26">
        <f t="shared" si="126"/>
        <v>0</v>
      </c>
      <c r="DG64" s="26">
        <f t="shared" si="126"/>
        <v>0</v>
      </c>
      <c r="DH64" s="26">
        <f t="shared" si="126"/>
        <v>0</v>
      </c>
      <c r="DI64" s="26">
        <f t="shared" si="126"/>
        <v>0</v>
      </c>
      <c r="DJ64" s="26">
        <f t="shared" si="126"/>
        <v>0</v>
      </c>
      <c r="DK64" s="26">
        <f t="shared" si="126"/>
        <v>0</v>
      </c>
      <c r="DL64" s="26">
        <f t="shared" si="126"/>
        <v>0</v>
      </c>
      <c r="DM64" s="26">
        <f t="shared" si="126"/>
        <v>0</v>
      </c>
      <c r="DN64" s="26">
        <f t="shared" si="126"/>
        <v>0</v>
      </c>
      <c r="DO64" s="26">
        <f t="shared" si="126"/>
        <v>0</v>
      </c>
      <c r="DP64" s="26">
        <f t="shared" si="126"/>
        <v>0</v>
      </c>
      <c r="DQ64" s="26">
        <f t="shared" si="126"/>
        <v>0</v>
      </c>
      <c r="DR64" s="26">
        <f t="shared" si="126"/>
        <v>0</v>
      </c>
      <c r="DS64" s="26">
        <f t="shared" si="126"/>
        <v>0</v>
      </c>
      <c r="DT64" s="26">
        <f t="shared" si="126"/>
        <v>0</v>
      </c>
      <c r="DU64" s="26">
        <f t="shared" si="126"/>
        <v>0</v>
      </c>
      <c r="DV64" s="26">
        <f t="shared" si="126"/>
        <v>0</v>
      </c>
      <c r="DW64" s="26">
        <f t="shared" si="126"/>
        <v>0</v>
      </c>
      <c r="DX64" s="26">
        <f t="shared" si="126"/>
        <v>0</v>
      </c>
      <c r="DY64" s="26">
        <f t="shared" si="126"/>
        <v>0</v>
      </c>
      <c r="DZ64" s="26">
        <f t="shared" si="126"/>
        <v>0</v>
      </c>
      <c r="EA64" s="26">
        <f t="shared" si="126"/>
        <v>0</v>
      </c>
      <c r="EB64" s="26">
        <f t="shared" si="126"/>
        <v>0</v>
      </c>
      <c r="EC64" s="26">
        <f t="shared" ref="EC64:FK64" si="127">IF(in_eo_on="Sim",IF(EC$1=$D$64,$C$64,0),0)</f>
        <v>0</v>
      </c>
      <c r="ED64" s="26">
        <f t="shared" si="127"/>
        <v>0</v>
      </c>
      <c r="EE64" s="26">
        <f t="shared" si="127"/>
        <v>0</v>
      </c>
      <c r="EF64" s="26">
        <f t="shared" si="127"/>
        <v>0</v>
      </c>
      <c r="EG64" s="26">
        <f t="shared" si="127"/>
        <v>0</v>
      </c>
      <c r="EH64" s="26">
        <f t="shared" si="127"/>
        <v>0</v>
      </c>
      <c r="EI64" s="26">
        <f t="shared" si="127"/>
        <v>0</v>
      </c>
      <c r="EJ64" s="26">
        <f t="shared" si="127"/>
        <v>0</v>
      </c>
      <c r="EK64" s="26">
        <f t="shared" si="127"/>
        <v>0</v>
      </c>
      <c r="EL64" s="26">
        <f t="shared" si="127"/>
        <v>0</v>
      </c>
      <c r="EM64" s="26">
        <f t="shared" si="127"/>
        <v>0</v>
      </c>
      <c r="EN64" s="26">
        <f t="shared" si="127"/>
        <v>0</v>
      </c>
      <c r="EO64" s="26">
        <f t="shared" si="127"/>
        <v>0</v>
      </c>
      <c r="EP64" s="26">
        <f t="shared" si="127"/>
        <v>0</v>
      </c>
      <c r="EQ64" s="26">
        <f t="shared" si="127"/>
        <v>0</v>
      </c>
      <c r="ER64" s="26">
        <f t="shared" si="127"/>
        <v>0</v>
      </c>
      <c r="ES64" s="26">
        <f t="shared" si="127"/>
        <v>0</v>
      </c>
      <c r="ET64" s="26">
        <f t="shared" si="127"/>
        <v>0</v>
      </c>
      <c r="EU64" s="26">
        <f t="shared" si="127"/>
        <v>0</v>
      </c>
      <c r="EV64" s="26">
        <f t="shared" si="127"/>
        <v>0</v>
      </c>
      <c r="EW64" s="26">
        <f t="shared" si="127"/>
        <v>0</v>
      </c>
      <c r="EX64" s="26">
        <f t="shared" si="127"/>
        <v>0</v>
      </c>
      <c r="EY64" s="26">
        <f t="shared" si="127"/>
        <v>0</v>
      </c>
      <c r="EZ64" s="26">
        <f t="shared" si="127"/>
        <v>0</v>
      </c>
      <c r="FA64" s="26">
        <f t="shared" si="127"/>
        <v>0</v>
      </c>
      <c r="FB64" s="26">
        <f t="shared" si="127"/>
        <v>0</v>
      </c>
      <c r="FC64" s="26">
        <f t="shared" si="127"/>
        <v>0</v>
      </c>
      <c r="FD64" s="26">
        <f t="shared" si="127"/>
        <v>0</v>
      </c>
      <c r="FE64" s="26">
        <f t="shared" si="127"/>
        <v>0</v>
      </c>
      <c r="FF64" s="26">
        <f t="shared" si="127"/>
        <v>0</v>
      </c>
      <c r="FG64" s="26">
        <f t="shared" si="127"/>
        <v>0</v>
      </c>
      <c r="FH64" s="26">
        <f t="shared" si="127"/>
        <v>0</v>
      </c>
      <c r="FI64" s="26">
        <f t="shared" si="127"/>
        <v>0</v>
      </c>
      <c r="FJ64" s="26">
        <f t="shared" si="127"/>
        <v>0</v>
      </c>
      <c r="FK64" s="26">
        <f t="shared" si="127"/>
        <v>0</v>
      </c>
    </row>
    <row r="66" spans="2:167" x14ac:dyDescent="0.35">
      <c r="B66" s="2" t="s">
        <v>170</v>
      </c>
      <c r="E66" s="2">
        <f t="shared" ref="E66:AJ66" si="128">IF(AND(in_e_precatorio&lt;&gt;"Sim",E$2&lt;=$C17),(IF($D19="Pré",0,INDEX(Ativo,$E19,MATCH(E$2,header_ativo,0)))+$C19)*E$3/365*$C22,(INDEX(Ativo,$E20,MATCH(E$2,header_ativo,0))+$C20)*E$3/365*$C31)</f>
        <v>0</v>
      </c>
      <c r="F66" s="2">
        <f t="shared" si="128"/>
        <v>0</v>
      </c>
      <c r="G66" s="2">
        <f t="shared" si="128"/>
        <v>0</v>
      </c>
      <c r="H66" s="2">
        <f t="shared" si="128"/>
        <v>0</v>
      </c>
      <c r="I66" s="2">
        <f t="shared" si="128"/>
        <v>0</v>
      </c>
      <c r="J66" s="2">
        <f t="shared" si="128"/>
        <v>0</v>
      </c>
      <c r="K66" s="2">
        <f t="shared" si="128"/>
        <v>0</v>
      </c>
      <c r="L66" s="2">
        <f t="shared" si="128"/>
        <v>0</v>
      </c>
      <c r="M66" s="2">
        <f t="shared" si="128"/>
        <v>0</v>
      </c>
      <c r="N66" s="2">
        <f t="shared" si="128"/>
        <v>0</v>
      </c>
      <c r="O66" s="2">
        <f t="shared" si="128"/>
        <v>0</v>
      </c>
      <c r="P66" s="2">
        <f t="shared" si="128"/>
        <v>0</v>
      </c>
      <c r="Q66" s="2">
        <f t="shared" si="128"/>
        <v>0</v>
      </c>
      <c r="R66" s="2">
        <f t="shared" si="128"/>
        <v>0</v>
      </c>
      <c r="S66" s="2">
        <f t="shared" si="128"/>
        <v>0</v>
      </c>
      <c r="T66" s="2">
        <f t="shared" si="128"/>
        <v>0</v>
      </c>
      <c r="U66" s="2">
        <f t="shared" si="128"/>
        <v>0</v>
      </c>
      <c r="V66" s="2">
        <f t="shared" si="128"/>
        <v>0</v>
      </c>
      <c r="W66" s="2">
        <f t="shared" si="128"/>
        <v>0</v>
      </c>
      <c r="X66" s="2">
        <f t="shared" si="128"/>
        <v>0</v>
      </c>
      <c r="Y66" s="2">
        <f t="shared" si="128"/>
        <v>0</v>
      </c>
      <c r="Z66" s="2">
        <f t="shared" si="128"/>
        <v>0</v>
      </c>
      <c r="AA66" s="2">
        <f t="shared" si="128"/>
        <v>0</v>
      </c>
      <c r="AB66" s="2">
        <f t="shared" si="128"/>
        <v>0</v>
      </c>
      <c r="AC66" s="2">
        <f t="shared" si="128"/>
        <v>0</v>
      </c>
      <c r="AD66" s="2">
        <f t="shared" si="128"/>
        <v>0</v>
      </c>
      <c r="AE66" s="2">
        <f t="shared" si="128"/>
        <v>0</v>
      </c>
      <c r="AF66" s="2">
        <f t="shared" si="128"/>
        <v>0</v>
      </c>
      <c r="AG66" s="2">
        <f t="shared" si="128"/>
        <v>0</v>
      </c>
      <c r="AH66" s="2">
        <f t="shared" si="128"/>
        <v>0</v>
      </c>
      <c r="AI66" s="2">
        <f t="shared" si="128"/>
        <v>0</v>
      </c>
      <c r="AJ66" s="2">
        <f t="shared" si="128"/>
        <v>0</v>
      </c>
      <c r="AK66" s="2">
        <f t="shared" ref="AK66:BP66" si="129">IF(AND(in_e_precatorio&lt;&gt;"Sim",AK$2&lt;=$C17),(IF($D19="Pré",0,INDEX(Ativo,$E19,MATCH(AK$2,header_ativo,0)))+$C19)*AK$3/365*$C22,(INDEX(Ativo,$E20,MATCH(AK$2,header_ativo,0))+$C20)*AK$3/365*$C31)</f>
        <v>0</v>
      </c>
      <c r="AL66" s="2">
        <f t="shared" si="129"/>
        <v>0</v>
      </c>
      <c r="AM66" s="2">
        <f t="shared" si="129"/>
        <v>0</v>
      </c>
      <c r="AN66" s="2">
        <f t="shared" si="129"/>
        <v>0</v>
      </c>
      <c r="AO66" s="2">
        <f t="shared" si="129"/>
        <v>0</v>
      </c>
      <c r="AP66" s="2">
        <f t="shared" si="129"/>
        <v>0</v>
      </c>
      <c r="AQ66" s="2">
        <f t="shared" si="129"/>
        <v>0</v>
      </c>
      <c r="AR66" s="2">
        <f t="shared" si="129"/>
        <v>0</v>
      </c>
      <c r="AS66" s="2">
        <f t="shared" si="129"/>
        <v>0</v>
      </c>
      <c r="AT66" s="2">
        <f t="shared" si="129"/>
        <v>0</v>
      </c>
      <c r="AU66" s="2">
        <f t="shared" si="129"/>
        <v>0</v>
      </c>
      <c r="AV66" s="2">
        <f t="shared" si="129"/>
        <v>0</v>
      </c>
      <c r="AW66" s="2">
        <f t="shared" si="129"/>
        <v>0</v>
      </c>
      <c r="AX66" s="2">
        <f t="shared" si="129"/>
        <v>0</v>
      </c>
      <c r="AY66" s="2">
        <f t="shared" si="129"/>
        <v>0</v>
      </c>
      <c r="AZ66" s="2">
        <f t="shared" si="129"/>
        <v>0</v>
      </c>
      <c r="BA66" s="2">
        <f t="shared" si="129"/>
        <v>0</v>
      </c>
      <c r="BB66" s="2">
        <f t="shared" si="129"/>
        <v>0</v>
      </c>
      <c r="BC66" s="2">
        <f t="shared" si="129"/>
        <v>0</v>
      </c>
      <c r="BD66" s="2">
        <f t="shared" si="129"/>
        <v>0</v>
      </c>
      <c r="BE66" s="2">
        <f t="shared" si="129"/>
        <v>0</v>
      </c>
      <c r="BF66" s="2">
        <f t="shared" si="129"/>
        <v>0</v>
      </c>
      <c r="BG66" s="2">
        <f t="shared" si="129"/>
        <v>0</v>
      </c>
      <c r="BH66" s="2">
        <f t="shared" si="129"/>
        <v>0</v>
      </c>
      <c r="BI66" s="2">
        <f t="shared" si="129"/>
        <v>0</v>
      </c>
      <c r="BJ66" s="2">
        <f t="shared" si="129"/>
        <v>0</v>
      </c>
      <c r="BK66" s="2">
        <f t="shared" si="129"/>
        <v>0</v>
      </c>
      <c r="BL66" s="2">
        <f t="shared" si="129"/>
        <v>0</v>
      </c>
      <c r="BM66" s="2">
        <f t="shared" si="129"/>
        <v>0</v>
      </c>
      <c r="BN66" s="2">
        <f t="shared" si="129"/>
        <v>0</v>
      </c>
      <c r="BO66" s="2">
        <f t="shared" si="129"/>
        <v>0</v>
      </c>
      <c r="BP66" s="2">
        <f t="shared" si="129"/>
        <v>0</v>
      </c>
      <c r="BQ66" s="2">
        <f t="shared" ref="BQ66:CV66" si="130">IF(AND(in_e_precatorio&lt;&gt;"Sim",BQ$2&lt;=$C17),(IF($D19="Pré",0,INDEX(Ativo,$E19,MATCH(BQ$2,header_ativo,0)))+$C19)*BQ$3/365*$C22,(INDEX(Ativo,$E20,MATCH(BQ$2,header_ativo,0))+$C20)*BQ$3/365*$C31)</f>
        <v>0</v>
      </c>
      <c r="BR66" s="2">
        <f t="shared" si="130"/>
        <v>0</v>
      </c>
      <c r="BS66" s="2">
        <f t="shared" si="130"/>
        <v>0</v>
      </c>
      <c r="BT66" s="2">
        <f t="shared" si="130"/>
        <v>0</v>
      </c>
      <c r="BU66" s="2">
        <f t="shared" si="130"/>
        <v>0</v>
      </c>
      <c r="BV66" s="2">
        <f t="shared" si="130"/>
        <v>0</v>
      </c>
      <c r="BW66" s="2">
        <f t="shared" si="130"/>
        <v>0</v>
      </c>
      <c r="BX66" s="2">
        <f t="shared" si="130"/>
        <v>0</v>
      </c>
      <c r="BY66" s="2">
        <f t="shared" si="130"/>
        <v>0</v>
      </c>
      <c r="BZ66" s="2">
        <f t="shared" si="130"/>
        <v>0</v>
      </c>
      <c r="CA66" s="2">
        <f t="shared" si="130"/>
        <v>0</v>
      </c>
      <c r="CB66" s="2">
        <f t="shared" si="130"/>
        <v>0</v>
      </c>
      <c r="CC66" s="2">
        <f t="shared" si="130"/>
        <v>0</v>
      </c>
      <c r="CD66" s="2">
        <f t="shared" si="130"/>
        <v>0</v>
      </c>
      <c r="CE66" s="2">
        <f t="shared" si="130"/>
        <v>0</v>
      </c>
      <c r="CF66" s="2">
        <f t="shared" si="130"/>
        <v>0</v>
      </c>
      <c r="CG66" s="2">
        <f t="shared" si="130"/>
        <v>0</v>
      </c>
      <c r="CH66" s="2">
        <f t="shared" si="130"/>
        <v>0</v>
      </c>
      <c r="CI66" s="2">
        <f t="shared" si="130"/>
        <v>0</v>
      </c>
      <c r="CJ66" s="2">
        <f t="shared" si="130"/>
        <v>0</v>
      </c>
      <c r="CK66" s="2">
        <f t="shared" si="130"/>
        <v>0</v>
      </c>
      <c r="CL66" s="2">
        <f t="shared" si="130"/>
        <v>0</v>
      </c>
      <c r="CM66" s="2">
        <f t="shared" si="130"/>
        <v>0</v>
      </c>
      <c r="CN66" s="2">
        <f t="shared" si="130"/>
        <v>0</v>
      </c>
      <c r="CO66" s="2">
        <f t="shared" si="130"/>
        <v>0</v>
      </c>
      <c r="CP66" s="2">
        <f t="shared" si="130"/>
        <v>0</v>
      </c>
      <c r="CQ66" s="2">
        <f t="shared" si="130"/>
        <v>0</v>
      </c>
      <c r="CR66" s="2">
        <f t="shared" si="130"/>
        <v>0</v>
      </c>
      <c r="CS66" s="2">
        <f t="shared" si="130"/>
        <v>0</v>
      </c>
      <c r="CT66" s="2">
        <f t="shared" si="130"/>
        <v>0</v>
      </c>
      <c r="CU66" s="2">
        <f t="shared" si="130"/>
        <v>0</v>
      </c>
      <c r="CV66" s="2">
        <f t="shared" si="130"/>
        <v>0</v>
      </c>
      <c r="CW66" s="2">
        <f t="shared" ref="CW66:EB66" si="131">IF(AND(in_e_precatorio&lt;&gt;"Sim",CW$2&lt;=$C17),(IF($D19="Pré",0,INDEX(Ativo,$E19,MATCH(CW$2,header_ativo,0)))+$C19)*CW$3/365*$C22,(INDEX(Ativo,$E20,MATCH(CW$2,header_ativo,0))+$C20)*CW$3/365*$C31)</f>
        <v>0</v>
      </c>
      <c r="CX66" s="2">
        <f t="shared" si="131"/>
        <v>0</v>
      </c>
      <c r="CY66" s="2">
        <f t="shared" si="131"/>
        <v>0</v>
      </c>
      <c r="CZ66" s="2">
        <f t="shared" si="131"/>
        <v>0</v>
      </c>
      <c r="DA66" s="2">
        <f t="shared" si="131"/>
        <v>0</v>
      </c>
      <c r="DB66" s="2">
        <f t="shared" si="131"/>
        <v>0</v>
      </c>
      <c r="DC66" s="2">
        <f t="shared" si="131"/>
        <v>0</v>
      </c>
      <c r="DD66" s="2">
        <f t="shared" si="131"/>
        <v>0</v>
      </c>
      <c r="DE66" s="2">
        <f t="shared" si="131"/>
        <v>0</v>
      </c>
      <c r="DF66" s="2">
        <f t="shared" si="131"/>
        <v>0</v>
      </c>
      <c r="DG66" s="2">
        <f t="shared" si="131"/>
        <v>0</v>
      </c>
      <c r="DH66" s="2">
        <f t="shared" si="131"/>
        <v>0</v>
      </c>
      <c r="DI66" s="2">
        <f t="shared" si="131"/>
        <v>0</v>
      </c>
      <c r="DJ66" s="2">
        <f t="shared" si="131"/>
        <v>0</v>
      </c>
      <c r="DK66" s="2">
        <f t="shared" si="131"/>
        <v>0</v>
      </c>
      <c r="DL66" s="2">
        <f t="shared" si="131"/>
        <v>0</v>
      </c>
      <c r="DM66" s="2">
        <f t="shared" si="131"/>
        <v>0</v>
      </c>
      <c r="DN66" s="2">
        <f t="shared" si="131"/>
        <v>0</v>
      </c>
      <c r="DO66" s="2">
        <f t="shared" si="131"/>
        <v>0</v>
      </c>
      <c r="DP66" s="2">
        <f t="shared" si="131"/>
        <v>0</v>
      </c>
      <c r="DQ66" s="2">
        <f t="shared" si="131"/>
        <v>0</v>
      </c>
      <c r="DR66" s="2">
        <f t="shared" si="131"/>
        <v>0</v>
      </c>
      <c r="DS66" s="2">
        <f t="shared" si="131"/>
        <v>0</v>
      </c>
      <c r="DT66" s="2">
        <f t="shared" si="131"/>
        <v>0</v>
      </c>
      <c r="DU66" s="2">
        <f t="shared" si="131"/>
        <v>0</v>
      </c>
      <c r="DV66" s="2">
        <f t="shared" si="131"/>
        <v>0</v>
      </c>
      <c r="DW66" s="2">
        <f t="shared" si="131"/>
        <v>0</v>
      </c>
      <c r="DX66" s="2">
        <f t="shared" si="131"/>
        <v>0</v>
      </c>
      <c r="DY66" s="2">
        <f t="shared" si="131"/>
        <v>0</v>
      </c>
      <c r="DZ66" s="2">
        <f t="shared" si="131"/>
        <v>0</v>
      </c>
      <c r="EA66" s="2">
        <f t="shared" si="131"/>
        <v>0</v>
      </c>
      <c r="EB66" s="2">
        <f t="shared" si="131"/>
        <v>0</v>
      </c>
      <c r="EC66" s="2">
        <f t="shared" ref="EC66:FK66" si="132">IF(AND(in_e_precatorio&lt;&gt;"Sim",EC$2&lt;=$C17),(IF($D19="Pré",0,INDEX(Ativo,$E19,MATCH(EC$2,header_ativo,0)))+$C19)*EC$3/365*$C22,(INDEX(Ativo,$E20,MATCH(EC$2,header_ativo,0))+$C20)*EC$3/365*$C31)</f>
        <v>0</v>
      </c>
      <c r="ED66" s="2">
        <f t="shared" si="132"/>
        <v>0</v>
      </c>
      <c r="EE66" s="2">
        <f t="shared" si="132"/>
        <v>0</v>
      </c>
      <c r="EF66" s="2">
        <f t="shared" si="132"/>
        <v>0</v>
      </c>
      <c r="EG66" s="2">
        <f t="shared" si="132"/>
        <v>0</v>
      </c>
      <c r="EH66" s="2">
        <f t="shared" si="132"/>
        <v>0</v>
      </c>
      <c r="EI66" s="2">
        <f t="shared" si="132"/>
        <v>0</v>
      </c>
      <c r="EJ66" s="2">
        <f t="shared" si="132"/>
        <v>0</v>
      </c>
      <c r="EK66" s="2">
        <f t="shared" si="132"/>
        <v>0</v>
      </c>
      <c r="EL66" s="2">
        <f t="shared" si="132"/>
        <v>0</v>
      </c>
      <c r="EM66" s="2">
        <f t="shared" si="132"/>
        <v>0</v>
      </c>
      <c r="EN66" s="2">
        <f t="shared" si="132"/>
        <v>0</v>
      </c>
      <c r="EO66" s="2">
        <f t="shared" si="132"/>
        <v>0</v>
      </c>
      <c r="EP66" s="2">
        <f t="shared" si="132"/>
        <v>0</v>
      </c>
      <c r="EQ66" s="2">
        <f t="shared" si="132"/>
        <v>0</v>
      </c>
      <c r="ER66" s="2">
        <f t="shared" si="132"/>
        <v>0</v>
      </c>
      <c r="ES66" s="2">
        <f t="shared" si="132"/>
        <v>0</v>
      </c>
      <c r="ET66" s="2">
        <f t="shared" si="132"/>
        <v>0</v>
      </c>
      <c r="EU66" s="2">
        <f t="shared" si="132"/>
        <v>0</v>
      </c>
      <c r="EV66" s="2">
        <f t="shared" si="132"/>
        <v>0</v>
      </c>
      <c r="EW66" s="2">
        <f t="shared" si="132"/>
        <v>0</v>
      </c>
      <c r="EX66" s="2">
        <f t="shared" si="132"/>
        <v>0</v>
      </c>
      <c r="EY66" s="2">
        <f t="shared" si="132"/>
        <v>0</v>
      </c>
      <c r="EZ66" s="2">
        <f t="shared" si="132"/>
        <v>0</v>
      </c>
      <c r="FA66" s="2">
        <f t="shared" si="132"/>
        <v>0</v>
      </c>
      <c r="FB66" s="2">
        <f t="shared" si="132"/>
        <v>0</v>
      </c>
      <c r="FC66" s="2">
        <f t="shared" si="132"/>
        <v>0</v>
      </c>
      <c r="FD66" s="2">
        <f t="shared" si="132"/>
        <v>0</v>
      </c>
      <c r="FE66" s="2">
        <f t="shared" si="132"/>
        <v>0</v>
      </c>
      <c r="FF66" s="2">
        <f t="shared" si="132"/>
        <v>0</v>
      </c>
      <c r="FG66" s="2">
        <f t="shared" si="132"/>
        <v>0</v>
      </c>
      <c r="FH66" s="2">
        <f t="shared" si="132"/>
        <v>0</v>
      </c>
      <c r="FI66" s="2">
        <f t="shared" si="132"/>
        <v>0</v>
      </c>
      <c r="FJ66" s="2">
        <f t="shared" si="132"/>
        <v>0</v>
      </c>
      <c r="FK66" s="2">
        <f t="shared" si="132"/>
        <v>0</v>
      </c>
    </row>
    <row r="67" spans="2:167" x14ac:dyDescent="0.35">
      <c r="B67" s="2" t="s">
        <v>171</v>
      </c>
      <c r="E67" s="26">
        <f>$C$14+E66</f>
        <v>0</v>
      </c>
      <c r="F67" s="26">
        <f t="shared" ref="F67:AK67" si="133">E67+F66</f>
        <v>0</v>
      </c>
      <c r="G67" s="26">
        <f t="shared" si="133"/>
        <v>0</v>
      </c>
      <c r="H67" s="26">
        <f t="shared" si="133"/>
        <v>0</v>
      </c>
      <c r="I67" s="26">
        <f t="shared" si="133"/>
        <v>0</v>
      </c>
      <c r="J67" s="26">
        <f t="shared" si="133"/>
        <v>0</v>
      </c>
      <c r="K67" s="26">
        <f t="shared" si="133"/>
        <v>0</v>
      </c>
      <c r="L67" s="26">
        <f t="shared" si="133"/>
        <v>0</v>
      </c>
      <c r="M67" s="26">
        <f t="shared" si="133"/>
        <v>0</v>
      </c>
      <c r="N67" s="26">
        <f t="shared" si="133"/>
        <v>0</v>
      </c>
      <c r="O67" s="26">
        <f t="shared" si="133"/>
        <v>0</v>
      </c>
      <c r="P67" s="26">
        <f t="shared" si="133"/>
        <v>0</v>
      </c>
      <c r="Q67" s="26">
        <f t="shared" si="133"/>
        <v>0</v>
      </c>
      <c r="R67" s="26">
        <f t="shared" si="133"/>
        <v>0</v>
      </c>
      <c r="S67" s="26">
        <f t="shared" si="133"/>
        <v>0</v>
      </c>
      <c r="T67" s="26">
        <f t="shared" si="133"/>
        <v>0</v>
      </c>
      <c r="U67" s="26">
        <f t="shared" si="133"/>
        <v>0</v>
      </c>
      <c r="V67" s="26">
        <f t="shared" si="133"/>
        <v>0</v>
      </c>
      <c r="W67" s="26">
        <f t="shared" si="133"/>
        <v>0</v>
      </c>
      <c r="X67" s="26">
        <f t="shared" si="133"/>
        <v>0</v>
      </c>
      <c r="Y67" s="26">
        <f t="shared" si="133"/>
        <v>0</v>
      </c>
      <c r="Z67" s="26">
        <f t="shared" si="133"/>
        <v>0</v>
      </c>
      <c r="AA67" s="26">
        <f t="shared" si="133"/>
        <v>0</v>
      </c>
      <c r="AB67" s="26">
        <f t="shared" si="133"/>
        <v>0</v>
      </c>
      <c r="AC67" s="26">
        <f t="shared" si="133"/>
        <v>0</v>
      </c>
      <c r="AD67" s="26">
        <f t="shared" si="133"/>
        <v>0</v>
      </c>
      <c r="AE67" s="26">
        <f t="shared" si="133"/>
        <v>0</v>
      </c>
      <c r="AF67" s="26">
        <f t="shared" si="133"/>
        <v>0</v>
      </c>
      <c r="AG67" s="26">
        <f t="shared" si="133"/>
        <v>0</v>
      </c>
      <c r="AH67" s="26">
        <f t="shared" si="133"/>
        <v>0</v>
      </c>
      <c r="AI67" s="26">
        <f t="shared" si="133"/>
        <v>0</v>
      </c>
      <c r="AJ67" s="26">
        <f t="shared" si="133"/>
        <v>0</v>
      </c>
      <c r="AK67" s="26">
        <f t="shared" si="133"/>
        <v>0</v>
      </c>
      <c r="AL67" s="26">
        <f t="shared" ref="AL67:BQ67" si="134">AK67+AL66</f>
        <v>0</v>
      </c>
      <c r="AM67" s="26">
        <f t="shared" si="134"/>
        <v>0</v>
      </c>
      <c r="AN67" s="26">
        <f t="shared" si="134"/>
        <v>0</v>
      </c>
      <c r="AO67" s="26">
        <f t="shared" si="134"/>
        <v>0</v>
      </c>
      <c r="AP67" s="26">
        <f t="shared" si="134"/>
        <v>0</v>
      </c>
      <c r="AQ67" s="26">
        <f t="shared" si="134"/>
        <v>0</v>
      </c>
      <c r="AR67" s="26">
        <f t="shared" si="134"/>
        <v>0</v>
      </c>
      <c r="AS67" s="26">
        <f t="shared" si="134"/>
        <v>0</v>
      </c>
      <c r="AT67" s="26">
        <f t="shared" si="134"/>
        <v>0</v>
      </c>
      <c r="AU67" s="26">
        <f t="shared" si="134"/>
        <v>0</v>
      </c>
      <c r="AV67" s="26">
        <f t="shared" si="134"/>
        <v>0</v>
      </c>
      <c r="AW67" s="26">
        <f t="shared" si="134"/>
        <v>0</v>
      </c>
      <c r="AX67" s="26">
        <f t="shared" si="134"/>
        <v>0</v>
      </c>
      <c r="AY67" s="26">
        <f t="shared" si="134"/>
        <v>0</v>
      </c>
      <c r="AZ67" s="26">
        <f t="shared" si="134"/>
        <v>0</v>
      </c>
      <c r="BA67" s="26">
        <f t="shared" si="134"/>
        <v>0</v>
      </c>
      <c r="BB67" s="26">
        <f t="shared" si="134"/>
        <v>0</v>
      </c>
      <c r="BC67" s="26">
        <f t="shared" si="134"/>
        <v>0</v>
      </c>
      <c r="BD67" s="26">
        <f t="shared" si="134"/>
        <v>0</v>
      </c>
      <c r="BE67" s="26">
        <f t="shared" si="134"/>
        <v>0</v>
      </c>
      <c r="BF67" s="26">
        <f t="shared" si="134"/>
        <v>0</v>
      </c>
      <c r="BG67" s="26">
        <f t="shared" si="134"/>
        <v>0</v>
      </c>
      <c r="BH67" s="26">
        <f t="shared" si="134"/>
        <v>0</v>
      </c>
      <c r="BI67" s="26">
        <f t="shared" si="134"/>
        <v>0</v>
      </c>
      <c r="BJ67" s="26">
        <f t="shared" si="134"/>
        <v>0</v>
      </c>
      <c r="BK67" s="26">
        <f t="shared" si="134"/>
        <v>0</v>
      </c>
      <c r="BL67" s="26">
        <f t="shared" si="134"/>
        <v>0</v>
      </c>
      <c r="BM67" s="26">
        <f t="shared" si="134"/>
        <v>0</v>
      </c>
      <c r="BN67" s="26">
        <f t="shared" si="134"/>
        <v>0</v>
      </c>
      <c r="BO67" s="26">
        <f t="shared" si="134"/>
        <v>0</v>
      </c>
      <c r="BP67" s="26">
        <f t="shared" si="134"/>
        <v>0</v>
      </c>
      <c r="BQ67" s="26">
        <f t="shared" si="134"/>
        <v>0</v>
      </c>
      <c r="BR67" s="26">
        <f t="shared" ref="BR67:CW67" si="135">BQ67+BR66</f>
        <v>0</v>
      </c>
      <c r="BS67" s="26">
        <f t="shared" si="135"/>
        <v>0</v>
      </c>
      <c r="BT67" s="26">
        <f t="shared" si="135"/>
        <v>0</v>
      </c>
      <c r="BU67" s="26">
        <f t="shared" si="135"/>
        <v>0</v>
      </c>
      <c r="BV67" s="26">
        <f t="shared" si="135"/>
        <v>0</v>
      </c>
      <c r="BW67" s="26">
        <f t="shared" si="135"/>
        <v>0</v>
      </c>
      <c r="BX67" s="26">
        <f t="shared" si="135"/>
        <v>0</v>
      </c>
      <c r="BY67" s="26">
        <f t="shared" si="135"/>
        <v>0</v>
      </c>
      <c r="BZ67" s="26">
        <f t="shared" si="135"/>
        <v>0</v>
      </c>
      <c r="CA67" s="26">
        <f t="shared" si="135"/>
        <v>0</v>
      </c>
      <c r="CB67" s="26">
        <f t="shared" si="135"/>
        <v>0</v>
      </c>
      <c r="CC67" s="26">
        <f t="shared" si="135"/>
        <v>0</v>
      </c>
      <c r="CD67" s="26">
        <f t="shared" si="135"/>
        <v>0</v>
      </c>
      <c r="CE67" s="26">
        <f t="shared" si="135"/>
        <v>0</v>
      </c>
      <c r="CF67" s="26">
        <f t="shared" si="135"/>
        <v>0</v>
      </c>
      <c r="CG67" s="26">
        <f t="shared" si="135"/>
        <v>0</v>
      </c>
      <c r="CH67" s="26">
        <f t="shared" si="135"/>
        <v>0</v>
      </c>
      <c r="CI67" s="26">
        <f t="shared" si="135"/>
        <v>0</v>
      </c>
      <c r="CJ67" s="26">
        <f t="shared" si="135"/>
        <v>0</v>
      </c>
      <c r="CK67" s="26">
        <f t="shared" si="135"/>
        <v>0</v>
      </c>
      <c r="CL67" s="26">
        <f t="shared" si="135"/>
        <v>0</v>
      </c>
      <c r="CM67" s="26">
        <f t="shared" si="135"/>
        <v>0</v>
      </c>
      <c r="CN67" s="26">
        <f t="shared" si="135"/>
        <v>0</v>
      </c>
      <c r="CO67" s="26">
        <f t="shared" si="135"/>
        <v>0</v>
      </c>
      <c r="CP67" s="26">
        <f t="shared" si="135"/>
        <v>0</v>
      </c>
      <c r="CQ67" s="26">
        <f t="shared" si="135"/>
        <v>0</v>
      </c>
      <c r="CR67" s="26">
        <f t="shared" si="135"/>
        <v>0</v>
      </c>
      <c r="CS67" s="26">
        <f t="shared" si="135"/>
        <v>0</v>
      </c>
      <c r="CT67" s="26">
        <f t="shared" si="135"/>
        <v>0</v>
      </c>
      <c r="CU67" s="26">
        <f t="shared" si="135"/>
        <v>0</v>
      </c>
      <c r="CV67" s="26">
        <f t="shared" si="135"/>
        <v>0</v>
      </c>
      <c r="CW67" s="26">
        <f t="shared" si="135"/>
        <v>0</v>
      </c>
      <c r="CX67" s="26">
        <f t="shared" ref="CX67:EC67" si="136">CW67+CX66</f>
        <v>0</v>
      </c>
      <c r="CY67" s="26">
        <f t="shared" si="136"/>
        <v>0</v>
      </c>
      <c r="CZ67" s="26">
        <f t="shared" si="136"/>
        <v>0</v>
      </c>
      <c r="DA67" s="26">
        <f t="shared" si="136"/>
        <v>0</v>
      </c>
      <c r="DB67" s="26">
        <f t="shared" si="136"/>
        <v>0</v>
      </c>
      <c r="DC67" s="26">
        <f t="shared" si="136"/>
        <v>0</v>
      </c>
      <c r="DD67" s="26">
        <f t="shared" si="136"/>
        <v>0</v>
      </c>
      <c r="DE67" s="26">
        <f t="shared" si="136"/>
        <v>0</v>
      </c>
      <c r="DF67" s="26">
        <f t="shared" si="136"/>
        <v>0</v>
      </c>
      <c r="DG67" s="26">
        <f t="shared" si="136"/>
        <v>0</v>
      </c>
      <c r="DH67" s="26">
        <f t="shared" si="136"/>
        <v>0</v>
      </c>
      <c r="DI67" s="26">
        <f t="shared" si="136"/>
        <v>0</v>
      </c>
      <c r="DJ67" s="26">
        <f t="shared" si="136"/>
        <v>0</v>
      </c>
      <c r="DK67" s="26">
        <f t="shared" si="136"/>
        <v>0</v>
      </c>
      <c r="DL67" s="26">
        <f t="shared" si="136"/>
        <v>0</v>
      </c>
      <c r="DM67" s="26">
        <f t="shared" si="136"/>
        <v>0</v>
      </c>
      <c r="DN67" s="26">
        <f t="shared" si="136"/>
        <v>0</v>
      </c>
      <c r="DO67" s="26">
        <f t="shared" si="136"/>
        <v>0</v>
      </c>
      <c r="DP67" s="26">
        <f t="shared" si="136"/>
        <v>0</v>
      </c>
      <c r="DQ67" s="26">
        <f t="shared" si="136"/>
        <v>0</v>
      </c>
      <c r="DR67" s="26">
        <f t="shared" si="136"/>
        <v>0</v>
      </c>
      <c r="DS67" s="26">
        <f t="shared" si="136"/>
        <v>0</v>
      </c>
      <c r="DT67" s="26">
        <f t="shared" si="136"/>
        <v>0</v>
      </c>
      <c r="DU67" s="26">
        <f t="shared" si="136"/>
        <v>0</v>
      </c>
      <c r="DV67" s="26">
        <f t="shared" si="136"/>
        <v>0</v>
      </c>
      <c r="DW67" s="26">
        <f t="shared" si="136"/>
        <v>0</v>
      </c>
      <c r="DX67" s="26">
        <f t="shared" si="136"/>
        <v>0</v>
      </c>
      <c r="DY67" s="26">
        <f t="shared" si="136"/>
        <v>0</v>
      </c>
      <c r="DZ67" s="26">
        <f t="shared" si="136"/>
        <v>0</v>
      </c>
      <c r="EA67" s="26">
        <f t="shared" si="136"/>
        <v>0</v>
      </c>
      <c r="EB67" s="26">
        <f t="shared" si="136"/>
        <v>0</v>
      </c>
      <c r="EC67" s="26">
        <f t="shared" si="136"/>
        <v>0</v>
      </c>
      <c r="ED67" s="26">
        <f t="shared" ref="ED67:FI67" si="137">EC67+ED66</f>
        <v>0</v>
      </c>
      <c r="EE67" s="26">
        <f t="shared" si="137"/>
        <v>0</v>
      </c>
      <c r="EF67" s="26">
        <f t="shared" si="137"/>
        <v>0</v>
      </c>
      <c r="EG67" s="26">
        <f t="shared" si="137"/>
        <v>0</v>
      </c>
      <c r="EH67" s="26">
        <f t="shared" si="137"/>
        <v>0</v>
      </c>
      <c r="EI67" s="26">
        <f t="shared" si="137"/>
        <v>0</v>
      </c>
      <c r="EJ67" s="26">
        <f t="shared" si="137"/>
        <v>0</v>
      </c>
      <c r="EK67" s="26">
        <f t="shared" si="137"/>
        <v>0</v>
      </c>
      <c r="EL67" s="26">
        <f t="shared" si="137"/>
        <v>0</v>
      </c>
      <c r="EM67" s="26">
        <f t="shared" si="137"/>
        <v>0</v>
      </c>
      <c r="EN67" s="26">
        <f t="shared" si="137"/>
        <v>0</v>
      </c>
      <c r="EO67" s="26">
        <f t="shared" si="137"/>
        <v>0</v>
      </c>
      <c r="EP67" s="26">
        <f t="shared" si="137"/>
        <v>0</v>
      </c>
      <c r="EQ67" s="26">
        <f t="shared" si="137"/>
        <v>0</v>
      </c>
      <c r="ER67" s="26">
        <f t="shared" si="137"/>
        <v>0</v>
      </c>
      <c r="ES67" s="26">
        <f t="shared" si="137"/>
        <v>0</v>
      </c>
      <c r="ET67" s="26">
        <f t="shared" si="137"/>
        <v>0</v>
      </c>
      <c r="EU67" s="26">
        <f t="shared" si="137"/>
        <v>0</v>
      </c>
      <c r="EV67" s="26">
        <f t="shared" si="137"/>
        <v>0</v>
      </c>
      <c r="EW67" s="26">
        <f t="shared" si="137"/>
        <v>0</v>
      </c>
      <c r="EX67" s="26">
        <f t="shared" si="137"/>
        <v>0</v>
      </c>
      <c r="EY67" s="26">
        <f t="shared" si="137"/>
        <v>0</v>
      </c>
      <c r="EZ67" s="26">
        <f t="shared" si="137"/>
        <v>0</v>
      </c>
      <c r="FA67" s="26">
        <f t="shared" si="137"/>
        <v>0</v>
      </c>
      <c r="FB67" s="26">
        <f t="shared" si="137"/>
        <v>0</v>
      </c>
      <c r="FC67" s="26">
        <f t="shared" si="137"/>
        <v>0</v>
      </c>
      <c r="FD67" s="26">
        <f t="shared" si="137"/>
        <v>0</v>
      </c>
      <c r="FE67" s="26">
        <f t="shared" si="137"/>
        <v>0</v>
      </c>
      <c r="FF67" s="26">
        <f t="shared" si="137"/>
        <v>0</v>
      </c>
      <c r="FG67" s="26">
        <f t="shared" si="137"/>
        <v>0</v>
      </c>
      <c r="FH67" s="26">
        <f t="shared" si="137"/>
        <v>0</v>
      </c>
      <c r="FI67" s="26">
        <f t="shared" si="137"/>
        <v>0</v>
      </c>
      <c r="FJ67" s="26">
        <f t="shared" ref="FJ67:FK67" si="138">FI67+FJ66</f>
        <v>0</v>
      </c>
      <c r="FK67" s="26">
        <f t="shared" si="138"/>
        <v>0</v>
      </c>
    </row>
    <row r="68" spans="2:167" x14ac:dyDescent="0.35">
      <c r="B68" s="2" t="s">
        <v>172</v>
      </c>
      <c r="E68" s="2">
        <f t="shared" ref="E68:AJ68" si="139">E67*IF(in_acordo="Sim",in_acordo_fator,1)</f>
        <v>0</v>
      </c>
      <c r="F68" s="2">
        <f t="shared" si="139"/>
        <v>0</v>
      </c>
      <c r="G68" s="2">
        <f t="shared" si="139"/>
        <v>0</v>
      </c>
      <c r="H68" s="2">
        <f t="shared" si="139"/>
        <v>0</v>
      </c>
      <c r="I68" s="2">
        <f t="shared" si="139"/>
        <v>0</v>
      </c>
      <c r="J68" s="2">
        <f t="shared" si="139"/>
        <v>0</v>
      </c>
      <c r="K68" s="2">
        <f t="shared" si="139"/>
        <v>0</v>
      </c>
      <c r="L68" s="2">
        <f t="shared" si="139"/>
        <v>0</v>
      </c>
      <c r="M68" s="2">
        <f t="shared" si="139"/>
        <v>0</v>
      </c>
      <c r="N68" s="2">
        <f t="shared" si="139"/>
        <v>0</v>
      </c>
      <c r="O68" s="2">
        <f t="shared" si="139"/>
        <v>0</v>
      </c>
      <c r="P68" s="2">
        <f t="shared" si="139"/>
        <v>0</v>
      </c>
      <c r="Q68" s="2">
        <f t="shared" si="139"/>
        <v>0</v>
      </c>
      <c r="R68" s="2">
        <f t="shared" si="139"/>
        <v>0</v>
      </c>
      <c r="S68" s="2">
        <f t="shared" si="139"/>
        <v>0</v>
      </c>
      <c r="T68" s="2">
        <f t="shared" si="139"/>
        <v>0</v>
      </c>
      <c r="U68" s="2">
        <f t="shared" si="139"/>
        <v>0</v>
      </c>
      <c r="V68" s="2">
        <f t="shared" si="139"/>
        <v>0</v>
      </c>
      <c r="W68" s="2">
        <f t="shared" si="139"/>
        <v>0</v>
      </c>
      <c r="X68" s="2">
        <f t="shared" si="139"/>
        <v>0</v>
      </c>
      <c r="Y68" s="2">
        <f t="shared" si="139"/>
        <v>0</v>
      </c>
      <c r="Z68" s="2">
        <f t="shared" si="139"/>
        <v>0</v>
      </c>
      <c r="AA68" s="2">
        <f t="shared" si="139"/>
        <v>0</v>
      </c>
      <c r="AB68" s="2">
        <f t="shared" si="139"/>
        <v>0</v>
      </c>
      <c r="AC68" s="2">
        <f t="shared" si="139"/>
        <v>0</v>
      </c>
      <c r="AD68" s="2">
        <f t="shared" si="139"/>
        <v>0</v>
      </c>
      <c r="AE68" s="2">
        <f t="shared" si="139"/>
        <v>0</v>
      </c>
      <c r="AF68" s="2">
        <f t="shared" si="139"/>
        <v>0</v>
      </c>
      <c r="AG68" s="2">
        <f t="shared" si="139"/>
        <v>0</v>
      </c>
      <c r="AH68" s="2">
        <f t="shared" si="139"/>
        <v>0</v>
      </c>
      <c r="AI68" s="2">
        <f t="shared" si="139"/>
        <v>0</v>
      </c>
      <c r="AJ68" s="2">
        <f t="shared" si="139"/>
        <v>0</v>
      </c>
      <c r="AK68" s="2">
        <f t="shared" ref="AK68:BP68" si="140">AK67*IF(in_acordo="Sim",in_acordo_fator,1)</f>
        <v>0</v>
      </c>
      <c r="AL68" s="2">
        <f t="shared" si="140"/>
        <v>0</v>
      </c>
      <c r="AM68" s="2">
        <f t="shared" si="140"/>
        <v>0</v>
      </c>
      <c r="AN68" s="2">
        <f t="shared" si="140"/>
        <v>0</v>
      </c>
      <c r="AO68" s="2">
        <f t="shared" si="140"/>
        <v>0</v>
      </c>
      <c r="AP68" s="2">
        <f t="shared" si="140"/>
        <v>0</v>
      </c>
      <c r="AQ68" s="2">
        <f t="shared" si="140"/>
        <v>0</v>
      </c>
      <c r="AR68" s="2">
        <f t="shared" si="140"/>
        <v>0</v>
      </c>
      <c r="AS68" s="2">
        <f t="shared" si="140"/>
        <v>0</v>
      </c>
      <c r="AT68" s="2">
        <f t="shared" si="140"/>
        <v>0</v>
      </c>
      <c r="AU68" s="2">
        <f t="shared" si="140"/>
        <v>0</v>
      </c>
      <c r="AV68" s="2">
        <f t="shared" si="140"/>
        <v>0</v>
      </c>
      <c r="AW68" s="2">
        <f t="shared" si="140"/>
        <v>0</v>
      </c>
      <c r="AX68" s="2">
        <f t="shared" si="140"/>
        <v>0</v>
      </c>
      <c r="AY68" s="2">
        <f t="shared" si="140"/>
        <v>0</v>
      </c>
      <c r="AZ68" s="2">
        <f t="shared" si="140"/>
        <v>0</v>
      </c>
      <c r="BA68" s="2">
        <f t="shared" si="140"/>
        <v>0</v>
      </c>
      <c r="BB68" s="2">
        <f t="shared" si="140"/>
        <v>0</v>
      </c>
      <c r="BC68" s="2">
        <f t="shared" si="140"/>
        <v>0</v>
      </c>
      <c r="BD68" s="2">
        <f t="shared" si="140"/>
        <v>0</v>
      </c>
      <c r="BE68" s="2">
        <f t="shared" si="140"/>
        <v>0</v>
      </c>
      <c r="BF68" s="2">
        <f t="shared" si="140"/>
        <v>0</v>
      </c>
      <c r="BG68" s="2">
        <f t="shared" si="140"/>
        <v>0</v>
      </c>
      <c r="BH68" s="2">
        <f t="shared" si="140"/>
        <v>0</v>
      </c>
      <c r="BI68" s="2">
        <f t="shared" si="140"/>
        <v>0</v>
      </c>
      <c r="BJ68" s="2">
        <f t="shared" si="140"/>
        <v>0</v>
      </c>
      <c r="BK68" s="2">
        <f t="shared" si="140"/>
        <v>0</v>
      </c>
      <c r="BL68" s="2">
        <f t="shared" si="140"/>
        <v>0</v>
      </c>
      <c r="BM68" s="2">
        <f t="shared" si="140"/>
        <v>0</v>
      </c>
      <c r="BN68" s="2">
        <f t="shared" si="140"/>
        <v>0</v>
      </c>
      <c r="BO68" s="2">
        <f t="shared" si="140"/>
        <v>0</v>
      </c>
      <c r="BP68" s="2">
        <f t="shared" si="140"/>
        <v>0</v>
      </c>
      <c r="BQ68" s="2">
        <f t="shared" ref="BQ68:CV68" si="141">BQ67*IF(in_acordo="Sim",in_acordo_fator,1)</f>
        <v>0</v>
      </c>
      <c r="BR68" s="2">
        <f t="shared" si="141"/>
        <v>0</v>
      </c>
      <c r="BS68" s="2">
        <f t="shared" si="141"/>
        <v>0</v>
      </c>
      <c r="BT68" s="2">
        <f t="shared" si="141"/>
        <v>0</v>
      </c>
      <c r="BU68" s="2">
        <f t="shared" si="141"/>
        <v>0</v>
      </c>
      <c r="BV68" s="2">
        <f t="shared" si="141"/>
        <v>0</v>
      </c>
      <c r="BW68" s="2">
        <f t="shared" si="141"/>
        <v>0</v>
      </c>
      <c r="BX68" s="2">
        <f t="shared" si="141"/>
        <v>0</v>
      </c>
      <c r="BY68" s="2">
        <f t="shared" si="141"/>
        <v>0</v>
      </c>
      <c r="BZ68" s="2">
        <f t="shared" si="141"/>
        <v>0</v>
      </c>
      <c r="CA68" s="2">
        <f t="shared" si="141"/>
        <v>0</v>
      </c>
      <c r="CB68" s="2">
        <f t="shared" si="141"/>
        <v>0</v>
      </c>
      <c r="CC68" s="2">
        <f t="shared" si="141"/>
        <v>0</v>
      </c>
      <c r="CD68" s="2">
        <f t="shared" si="141"/>
        <v>0</v>
      </c>
      <c r="CE68" s="2">
        <f t="shared" si="141"/>
        <v>0</v>
      </c>
      <c r="CF68" s="2">
        <f t="shared" si="141"/>
        <v>0</v>
      </c>
      <c r="CG68" s="2">
        <f t="shared" si="141"/>
        <v>0</v>
      </c>
      <c r="CH68" s="2">
        <f t="shared" si="141"/>
        <v>0</v>
      </c>
      <c r="CI68" s="2">
        <f t="shared" si="141"/>
        <v>0</v>
      </c>
      <c r="CJ68" s="2">
        <f t="shared" si="141"/>
        <v>0</v>
      </c>
      <c r="CK68" s="2">
        <f t="shared" si="141"/>
        <v>0</v>
      </c>
      <c r="CL68" s="2">
        <f t="shared" si="141"/>
        <v>0</v>
      </c>
      <c r="CM68" s="2">
        <f t="shared" si="141"/>
        <v>0</v>
      </c>
      <c r="CN68" s="2">
        <f t="shared" si="141"/>
        <v>0</v>
      </c>
      <c r="CO68" s="2">
        <f t="shared" si="141"/>
        <v>0</v>
      </c>
      <c r="CP68" s="2">
        <f t="shared" si="141"/>
        <v>0</v>
      </c>
      <c r="CQ68" s="2">
        <f t="shared" si="141"/>
        <v>0</v>
      </c>
      <c r="CR68" s="2">
        <f t="shared" si="141"/>
        <v>0</v>
      </c>
      <c r="CS68" s="2">
        <f t="shared" si="141"/>
        <v>0</v>
      </c>
      <c r="CT68" s="2">
        <f t="shared" si="141"/>
        <v>0</v>
      </c>
      <c r="CU68" s="2">
        <f t="shared" si="141"/>
        <v>0</v>
      </c>
      <c r="CV68" s="2">
        <f t="shared" si="141"/>
        <v>0</v>
      </c>
      <c r="CW68" s="2">
        <f t="shared" ref="CW68:EB68" si="142">CW67*IF(in_acordo="Sim",in_acordo_fator,1)</f>
        <v>0</v>
      </c>
      <c r="CX68" s="2">
        <f t="shared" si="142"/>
        <v>0</v>
      </c>
      <c r="CY68" s="2">
        <f t="shared" si="142"/>
        <v>0</v>
      </c>
      <c r="CZ68" s="2">
        <f t="shared" si="142"/>
        <v>0</v>
      </c>
      <c r="DA68" s="2">
        <f t="shared" si="142"/>
        <v>0</v>
      </c>
      <c r="DB68" s="2">
        <f t="shared" si="142"/>
        <v>0</v>
      </c>
      <c r="DC68" s="2">
        <f t="shared" si="142"/>
        <v>0</v>
      </c>
      <c r="DD68" s="2">
        <f t="shared" si="142"/>
        <v>0</v>
      </c>
      <c r="DE68" s="2">
        <f t="shared" si="142"/>
        <v>0</v>
      </c>
      <c r="DF68" s="2">
        <f t="shared" si="142"/>
        <v>0</v>
      </c>
      <c r="DG68" s="2">
        <f t="shared" si="142"/>
        <v>0</v>
      </c>
      <c r="DH68" s="2">
        <f t="shared" si="142"/>
        <v>0</v>
      </c>
      <c r="DI68" s="2">
        <f t="shared" si="142"/>
        <v>0</v>
      </c>
      <c r="DJ68" s="2">
        <f t="shared" si="142"/>
        <v>0</v>
      </c>
      <c r="DK68" s="2">
        <f t="shared" si="142"/>
        <v>0</v>
      </c>
      <c r="DL68" s="2">
        <f t="shared" si="142"/>
        <v>0</v>
      </c>
      <c r="DM68" s="2">
        <f t="shared" si="142"/>
        <v>0</v>
      </c>
      <c r="DN68" s="2">
        <f t="shared" si="142"/>
        <v>0</v>
      </c>
      <c r="DO68" s="2">
        <f t="shared" si="142"/>
        <v>0</v>
      </c>
      <c r="DP68" s="2">
        <f t="shared" si="142"/>
        <v>0</v>
      </c>
      <c r="DQ68" s="2">
        <f t="shared" si="142"/>
        <v>0</v>
      </c>
      <c r="DR68" s="2">
        <f t="shared" si="142"/>
        <v>0</v>
      </c>
      <c r="DS68" s="2">
        <f t="shared" si="142"/>
        <v>0</v>
      </c>
      <c r="DT68" s="2">
        <f t="shared" si="142"/>
        <v>0</v>
      </c>
      <c r="DU68" s="2">
        <f t="shared" si="142"/>
        <v>0</v>
      </c>
      <c r="DV68" s="2">
        <f t="shared" si="142"/>
        <v>0</v>
      </c>
      <c r="DW68" s="2">
        <f t="shared" si="142"/>
        <v>0</v>
      </c>
      <c r="DX68" s="2">
        <f t="shared" si="142"/>
        <v>0</v>
      </c>
      <c r="DY68" s="2">
        <f t="shared" si="142"/>
        <v>0</v>
      </c>
      <c r="DZ68" s="2">
        <f t="shared" si="142"/>
        <v>0</v>
      </c>
      <c r="EA68" s="2">
        <f t="shared" si="142"/>
        <v>0</v>
      </c>
      <c r="EB68" s="2">
        <f t="shared" si="142"/>
        <v>0</v>
      </c>
      <c r="EC68" s="2">
        <f t="shared" ref="EC68:FH68" si="143">EC67*IF(in_acordo="Sim",in_acordo_fator,1)</f>
        <v>0</v>
      </c>
      <c r="ED68" s="2">
        <f t="shared" si="143"/>
        <v>0</v>
      </c>
      <c r="EE68" s="2">
        <f t="shared" si="143"/>
        <v>0</v>
      </c>
      <c r="EF68" s="2">
        <f t="shared" si="143"/>
        <v>0</v>
      </c>
      <c r="EG68" s="2">
        <f t="shared" si="143"/>
        <v>0</v>
      </c>
      <c r="EH68" s="2">
        <f t="shared" si="143"/>
        <v>0</v>
      </c>
      <c r="EI68" s="2">
        <f t="shared" si="143"/>
        <v>0</v>
      </c>
      <c r="EJ68" s="2">
        <f t="shared" si="143"/>
        <v>0</v>
      </c>
      <c r="EK68" s="2">
        <f t="shared" si="143"/>
        <v>0</v>
      </c>
      <c r="EL68" s="2">
        <f t="shared" si="143"/>
        <v>0</v>
      </c>
      <c r="EM68" s="2">
        <f t="shared" si="143"/>
        <v>0</v>
      </c>
      <c r="EN68" s="2">
        <f t="shared" si="143"/>
        <v>0</v>
      </c>
      <c r="EO68" s="2">
        <f t="shared" si="143"/>
        <v>0</v>
      </c>
      <c r="EP68" s="2">
        <f t="shared" si="143"/>
        <v>0</v>
      </c>
      <c r="EQ68" s="2">
        <f t="shared" si="143"/>
        <v>0</v>
      </c>
      <c r="ER68" s="2">
        <f t="shared" si="143"/>
        <v>0</v>
      </c>
      <c r="ES68" s="2">
        <f t="shared" si="143"/>
        <v>0</v>
      </c>
      <c r="ET68" s="2">
        <f t="shared" si="143"/>
        <v>0</v>
      </c>
      <c r="EU68" s="2">
        <f t="shared" si="143"/>
        <v>0</v>
      </c>
      <c r="EV68" s="2">
        <f t="shared" si="143"/>
        <v>0</v>
      </c>
      <c r="EW68" s="2">
        <f t="shared" si="143"/>
        <v>0</v>
      </c>
      <c r="EX68" s="2">
        <f t="shared" si="143"/>
        <v>0</v>
      </c>
      <c r="EY68" s="2">
        <f t="shared" si="143"/>
        <v>0</v>
      </c>
      <c r="EZ68" s="2">
        <f t="shared" si="143"/>
        <v>0</v>
      </c>
      <c r="FA68" s="2">
        <f t="shared" si="143"/>
        <v>0</v>
      </c>
      <c r="FB68" s="2">
        <f t="shared" si="143"/>
        <v>0</v>
      </c>
      <c r="FC68" s="2">
        <f t="shared" si="143"/>
        <v>0</v>
      </c>
      <c r="FD68" s="2">
        <f t="shared" si="143"/>
        <v>0</v>
      </c>
      <c r="FE68" s="2">
        <f t="shared" si="143"/>
        <v>0</v>
      </c>
      <c r="FF68" s="2">
        <f t="shared" si="143"/>
        <v>0</v>
      </c>
      <c r="FG68" s="2">
        <f t="shared" si="143"/>
        <v>0</v>
      </c>
      <c r="FH68" s="2">
        <f t="shared" si="143"/>
        <v>0</v>
      </c>
      <c r="FI68" s="2">
        <f t="shared" ref="FI68:FK68" si="144">FI67*IF(in_acordo="Sim",in_acordo_fator,1)</f>
        <v>0</v>
      </c>
      <c r="FJ68" s="2">
        <f t="shared" si="144"/>
        <v>0</v>
      </c>
      <c r="FK68" s="2">
        <f t="shared" si="144"/>
        <v>0</v>
      </c>
    </row>
    <row r="69" spans="2:167" x14ac:dyDescent="0.35">
      <c r="B69" s="2" t="s">
        <v>173</v>
      </c>
      <c r="E69" s="26">
        <f t="shared" ref="E69:AJ69" si="145">E68-E47</f>
        <v>0</v>
      </c>
      <c r="F69" s="26">
        <f t="shared" si="145"/>
        <v>0</v>
      </c>
      <c r="G69" s="26">
        <f t="shared" si="145"/>
        <v>0</v>
      </c>
      <c r="H69" s="26">
        <f t="shared" si="145"/>
        <v>0</v>
      </c>
      <c r="I69" s="26">
        <f t="shared" si="145"/>
        <v>0</v>
      </c>
      <c r="J69" s="26">
        <f t="shared" si="145"/>
        <v>0</v>
      </c>
      <c r="K69" s="26">
        <f t="shared" si="145"/>
        <v>0</v>
      </c>
      <c r="L69" s="26">
        <f t="shared" si="145"/>
        <v>0</v>
      </c>
      <c r="M69" s="26">
        <f t="shared" si="145"/>
        <v>0</v>
      </c>
      <c r="N69" s="26">
        <f t="shared" si="145"/>
        <v>0</v>
      </c>
      <c r="O69" s="26">
        <f t="shared" si="145"/>
        <v>0</v>
      </c>
      <c r="P69" s="26">
        <f t="shared" si="145"/>
        <v>0</v>
      </c>
      <c r="Q69" s="26">
        <f t="shared" si="145"/>
        <v>0</v>
      </c>
      <c r="R69" s="26">
        <f t="shared" si="145"/>
        <v>0</v>
      </c>
      <c r="S69" s="26">
        <f t="shared" si="145"/>
        <v>0</v>
      </c>
      <c r="T69" s="26">
        <f t="shared" si="145"/>
        <v>0</v>
      </c>
      <c r="U69" s="26">
        <f t="shared" si="145"/>
        <v>0</v>
      </c>
      <c r="V69" s="26">
        <f t="shared" si="145"/>
        <v>0</v>
      </c>
      <c r="W69" s="26">
        <f t="shared" si="145"/>
        <v>0</v>
      </c>
      <c r="X69" s="26">
        <f t="shared" si="145"/>
        <v>0</v>
      </c>
      <c r="Y69" s="26">
        <f t="shared" si="145"/>
        <v>0</v>
      </c>
      <c r="Z69" s="26">
        <f t="shared" si="145"/>
        <v>0</v>
      </c>
      <c r="AA69" s="26">
        <f t="shared" si="145"/>
        <v>0</v>
      </c>
      <c r="AB69" s="26">
        <f t="shared" si="145"/>
        <v>0</v>
      </c>
      <c r="AC69" s="26">
        <f t="shared" si="145"/>
        <v>0</v>
      </c>
      <c r="AD69" s="26">
        <f t="shared" si="145"/>
        <v>0</v>
      </c>
      <c r="AE69" s="26">
        <f t="shared" si="145"/>
        <v>0</v>
      </c>
      <c r="AF69" s="26">
        <f t="shared" si="145"/>
        <v>0</v>
      </c>
      <c r="AG69" s="26">
        <f t="shared" si="145"/>
        <v>0</v>
      </c>
      <c r="AH69" s="26">
        <f t="shared" si="145"/>
        <v>0</v>
      </c>
      <c r="AI69" s="26">
        <f t="shared" si="145"/>
        <v>0</v>
      </c>
      <c r="AJ69" s="26">
        <f t="shared" si="145"/>
        <v>0</v>
      </c>
      <c r="AK69" s="26">
        <f t="shared" ref="AK69:BP69" si="146">AK68-AK47</f>
        <v>0</v>
      </c>
      <c r="AL69" s="26">
        <f t="shared" si="146"/>
        <v>0</v>
      </c>
      <c r="AM69" s="26">
        <f t="shared" si="146"/>
        <v>0</v>
      </c>
      <c r="AN69" s="26">
        <f t="shared" si="146"/>
        <v>0</v>
      </c>
      <c r="AO69" s="26">
        <f t="shared" si="146"/>
        <v>0</v>
      </c>
      <c r="AP69" s="26">
        <f t="shared" si="146"/>
        <v>0</v>
      </c>
      <c r="AQ69" s="26">
        <f t="shared" si="146"/>
        <v>0</v>
      </c>
      <c r="AR69" s="26">
        <f t="shared" si="146"/>
        <v>0</v>
      </c>
      <c r="AS69" s="26">
        <f t="shared" si="146"/>
        <v>0</v>
      </c>
      <c r="AT69" s="26">
        <f t="shared" si="146"/>
        <v>0</v>
      </c>
      <c r="AU69" s="26">
        <f t="shared" si="146"/>
        <v>0</v>
      </c>
      <c r="AV69" s="26">
        <f t="shared" si="146"/>
        <v>0</v>
      </c>
      <c r="AW69" s="26">
        <f t="shared" si="146"/>
        <v>0</v>
      </c>
      <c r="AX69" s="26">
        <f t="shared" si="146"/>
        <v>0</v>
      </c>
      <c r="AY69" s="26">
        <f t="shared" si="146"/>
        <v>0</v>
      </c>
      <c r="AZ69" s="26">
        <f t="shared" si="146"/>
        <v>0</v>
      </c>
      <c r="BA69" s="26">
        <f t="shared" si="146"/>
        <v>0</v>
      </c>
      <c r="BB69" s="26">
        <f t="shared" si="146"/>
        <v>0</v>
      </c>
      <c r="BC69" s="26">
        <f t="shared" si="146"/>
        <v>0</v>
      </c>
      <c r="BD69" s="26">
        <f t="shared" si="146"/>
        <v>0</v>
      </c>
      <c r="BE69" s="26">
        <f t="shared" si="146"/>
        <v>0</v>
      </c>
      <c r="BF69" s="26">
        <f t="shared" si="146"/>
        <v>0</v>
      </c>
      <c r="BG69" s="26">
        <f t="shared" si="146"/>
        <v>0</v>
      </c>
      <c r="BH69" s="26">
        <f t="shared" si="146"/>
        <v>0</v>
      </c>
      <c r="BI69" s="26">
        <f t="shared" si="146"/>
        <v>0</v>
      </c>
      <c r="BJ69" s="26">
        <f t="shared" si="146"/>
        <v>0</v>
      </c>
      <c r="BK69" s="26">
        <f t="shared" si="146"/>
        <v>0</v>
      </c>
      <c r="BL69" s="26">
        <f t="shared" si="146"/>
        <v>0</v>
      </c>
      <c r="BM69" s="26">
        <f t="shared" si="146"/>
        <v>0</v>
      </c>
      <c r="BN69" s="26">
        <f t="shared" si="146"/>
        <v>0</v>
      </c>
      <c r="BO69" s="26">
        <f t="shared" si="146"/>
        <v>0</v>
      </c>
      <c r="BP69" s="26">
        <f t="shared" si="146"/>
        <v>0</v>
      </c>
      <c r="BQ69" s="26">
        <f t="shared" ref="BQ69:CV69" si="147">BQ68-BQ47</f>
        <v>0</v>
      </c>
      <c r="BR69" s="26">
        <f t="shared" si="147"/>
        <v>0</v>
      </c>
      <c r="BS69" s="26">
        <f t="shared" si="147"/>
        <v>0</v>
      </c>
      <c r="BT69" s="26">
        <f t="shared" si="147"/>
        <v>0</v>
      </c>
      <c r="BU69" s="26">
        <f t="shared" si="147"/>
        <v>0</v>
      </c>
      <c r="BV69" s="26">
        <f t="shared" si="147"/>
        <v>0</v>
      </c>
      <c r="BW69" s="26">
        <f t="shared" si="147"/>
        <v>0</v>
      </c>
      <c r="BX69" s="26">
        <f t="shared" si="147"/>
        <v>0</v>
      </c>
      <c r="BY69" s="26">
        <f t="shared" si="147"/>
        <v>0</v>
      </c>
      <c r="BZ69" s="26">
        <f t="shared" si="147"/>
        <v>0</v>
      </c>
      <c r="CA69" s="26">
        <f t="shared" si="147"/>
        <v>0</v>
      </c>
      <c r="CB69" s="26">
        <f t="shared" si="147"/>
        <v>0</v>
      </c>
      <c r="CC69" s="26">
        <f t="shared" si="147"/>
        <v>0</v>
      </c>
      <c r="CD69" s="26">
        <f t="shared" si="147"/>
        <v>0</v>
      </c>
      <c r="CE69" s="26">
        <f t="shared" si="147"/>
        <v>0</v>
      </c>
      <c r="CF69" s="26">
        <f t="shared" si="147"/>
        <v>0</v>
      </c>
      <c r="CG69" s="26">
        <f t="shared" si="147"/>
        <v>0</v>
      </c>
      <c r="CH69" s="26">
        <f t="shared" si="147"/>
        <v>0</v>
      </c>
      <c r="CI69" s="26">
        <f t="shared" si="147"/>
        <v>0</v>
      </c>
      <c r="CJ69" s="26">
        <f t="shared" si="147"/>
        <v>0</v>
      </c>
      <c r="CK69" s="26">
        <f t="shared" si="147"/>
        <v>0</v>
      </c>
      <c r="CL69" s="26">
        <f t="shared" si="147"/>
        <v>0</v>
      </c>
      <c r="CM69" s="26">
        <f t="shared" si="147"/>
        <v>0</v>
      </c>
      <c r="CN69" s="26">
        <f t="shared" si="147"/>
        <v>0</v>
      </c>
      <c r="CO69" s="26">
        <f t="shared" si="147"/>
        <v>0</v>
      </c>
      <c r="CP69" s="26">
        <f t="shared" si="147"/>
        <v>0</v>
      </c>
      <c r="CQ69" s="26">
        <f t="shared" si="147"/>
        <v>0</v>
      </c>
      <c r="CR69" s="26">
        <f t="shared" si="147"/>
        <v>0</v>
      </c>
      <c r="CS69" s="26">
        <f t="shared" si="147"/>
        <v>0</v>
      </c>
      <c r="CT69" s="26">
        <f t="shared" si="147"/>
        <v>0</v>
      </c>
      <c r="CU69" s="26">
        <f t="shared" si="147"/>
        <v>0</v>
      </c>
      <c r="CV69" s="26">
        <f t="shared" si="147"/>
        <v>0</v>
      </c>
      <c r="CW69" s="26">
        <f t="shared" ref="CW69:EB69" si="148">CW68-CW47</f>
        <v>0</v>
      </c>
      <c r="CX69" s="26">
        <f t="shared" si="148"/>
        <v>0</v>
      </c>
      <c r="CY69" s="26">
        <f t="shared" si="148"/>
        <v>0</v>
      </c>
      <c r="CZ69" s="26">
        <f t="shared" si="148"/>
        <v>0</v>
      </c>
      <c r="DA69" s="26">
        <f t="shared" si="148"/>
        <v>0</v>
      </c>
      <c r="DB69" s="26">
        <f t="shared" si="148"/>
        <v>0</v>
      </c>
      <c r="DC69" s="26">
        <f t="shared" si="148"/>
        <v>0</v>
      </c>
      <c r="DD69" s="26">
        <f t="shared" si="148"/>
        <v>0</v>
      </c>
      <c r="DE69" s="26">
        <f t="shared" si="148"/>
        <v>0</v>
      </c>
      <c r="DF69" s="26">
        <f t="shared" si="148"/>
        <v>0</v>
      </c>
      <c r="DG69" s="26">
        <f t="shared" si="148"/>
        <v>0</v>
      </c>
      <c r="DH69" s="26">
        <f t="shared" si="148"/>
        <v>0</v>
      </c>
      <c r="DI69" s="26">
        <f t="shared" si="148"/>
        <v>0</v>
      </c>
      <c r="DJ69" s="26">
        <f t="shared" si="148"/>
        <v>0</v>
      </c>
      <c r="DK69" s="26">
        <f t="shared" si="148"/>
        <v>0</v>
      </c>
      <c r="DL69" s="26">
        <f t="shared" si="148"/>
        <v>0</v>
      </c>
      <c r="DM69" s="26">
        <f t="shared" si="148"/>
        <v>0</v>
      </c>
      <c r="DN69" s="26">
        <f t="shared" si="148"/>
        <v>0</v>
      </c>
      <c r="DO69" s="26">
        <f t="shared" si="148"/>
        <v>0</v>
      </c>
      <c r="DP69" s="26">
        <f t="shared" si="148"/>
        <v>0</v>
      </c>
      <c r="DQ69" s="26">
        <f t="shared" si="148"/>
        <v>0</v>
      </c>
      <c r="DR69" s="26">
        <f t="shared" si="148"/>
        <v>0</v>
      </c>
      <c r="DS69" s="26">
        <f t="shared" si="148"/>
        <v>0</v>
      </c>
      <c r="DT69" s="26">
        <f t="shared" si="148"/>
        <v>0</v>
      </c>
      <c r="DU69" s="26">
        <f t="shared" si="148"/>
        <v>0</v>
      </c>
      <c r="DV69" s="26">
        <f t="shared" si="148"/>
        <v>0</v>
      </c>
      <c r="DW69" s="26">
        <f t="shared" si="148"/>
        <v>0</v>
      </c>
      <c r="DX69" s="26">
        <f t="shared" si="148"/>
        <v>0</v>
      </c>
      <c r="DY69" s="26">
        <f t="shared" si="148"/>
        <v>0</v>
      </c>
      <c r="DZ69" s="26">
        <f t="shared" si="148"/>
        <v>0</v>
      </c>
      <c r="EA69" s="26">
        <f t="shared" si="148"/>
        <v>0</v>
      </c>
      <c r="EB69" s="26">
        <f t="shared" si="148"/>
        <v>0</v>
      </c>
      <c r="EC69" s="26">
        <f t="shared" ref="EC69:FH69" si="149">EC68-EC47</f>
        <v>0</v>
      </c>
      <c r="ED69" s="26">
        <f t="shared" si="149"/>
        <v>0</v>
      </c>
      <c r="EE69" s="26">
        <f t="shared" si="149"/>
        <v>0</v>
      </c>
      <c r="EF69" s="26">
        <f t="shared" si="149"/>
        <v>0</v>
      </c>
      <c r="EG69" s="26">
        <f t="shared" si="149"/>
        <v>0</v>
      </c>
      <c r="EH69" s="26">
        <f t="shared" si="149"/>
        <v>0</v>
      </c>
      <c r="EI69" s="26">
        <f t="shared" si="149"/>
        <v>0</v>
      </c>
      <c r="EJ69" s="26">
        <f t="shared" si="149"/>
        <v>0</v>
      </c>
      <c r="EK69" s="26">
        <f t="shared" si="149"/>
        <v>0</v>
      </c>
      <c r="EL69" s="26">
        <f t="shared" si="149"/>
        <v>0</v>
      </c>
      <c r="EM69" s="26">
        <f t="shared" si="149"/>
        <v>0</v>
      </c>
      <c r="EN69" s="26">
        <f t="shared" si="149"/>
        <v>0</v>
      </c>
      <c r="EO69" s="26">
        <f t="shared" si="149"/>
        <v>0</v>
      </c>
      <c r="EP69" s="26">
        <f t="shared" si="149"/>
        <v>0</v>
      </c>
      <c r="EQ69" s="26">
        <f t="shared" si="149"/>
        <v>0</v>
      </c>
      <c r="ER69" s="26">
        <f t="shared" si="149"/>
        <v>0</v>
      </c>
      <c r="ES69" s="26">
        <f t="shared" si="149"/>
        <v>0</v>
      </c>
      <c r="ET69" s="26">
        <f t="shared" si="149"/>
        <v>0</v>
      </c>
      <c r="EU69" s="26">
        <f t="shared" si="149"/>
        <v>0</v>
      </c>
      <c r="EV69" s="26">
        <f t="shared" si="149"/>
        <v>0</v>
      </c>
      <c r="EW69" s="26">
        <f t="shared" si="149"/>
        <v>0</v>
      </c>
      <c r="EX69" s="26">
        <f t="shared" si="149"/>
        <v>0</v>
      </c>
      <c r="EY69" s="26">
        <f t="shared" si="149"/>
        <v>0</v>
      </c>
      <c r="EZ69" s="26">
        <f t="shared" si="149"/>
        <v>0</v>
      </c>
      <c r="FA69" s="26">
        <f t="shared" si="149"/>
        <v>0</v>
      </c>
      <c r="FB69" s="26">
        <f t="shared" si="149"/>
        <v>0</v>
      </c>
      <c r="FC69" s="26">
        <f t="shared" si="149"/>
        <v>0</v>
      </c>
      <c r="FD69" s="26">
        <f t="shared" si="149"/>
        <v>0</v>
      </c>
      <c r="FE69" s="26">
        <f t="shared" si="149"/>
        <v>0</v>
      </c>
      <c r="FF69" s="26">
        <f t="shared" si="149"/>
        <v>0</v>
      </c>
      <c r="FG69" s="26">
        <f t="shared" si="149"/>
        <v>0</v>
      </c>
      <c r="FH69" s="26">
        <f t="shared" si="149"/>
        <v>0</v>
      </c>
      <c r="FI69" s="26">
        <f t="shared" ref="FI69:FK69" si="150">FI68-FI47</f>
        <v>0</v>
      </c>
      <c r="FJ69" s="26">
        <f t="shared" si="150"/>
        <v>0</v>
      </c>
      <c r="FK69" s="26">
        <f t="shared" si="150"/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0"/>
  <dimension ref="B2:G36"/>
  <sheetViews>
    <sheetView showGridLines="0" workbookViewId="0">
      <selection activeCell="C24" sqref="C24"/>
    </sheetView>
  </sheetViews>
  <sheetFormatPr defaultRowHeight="14.5" x14ac:dyDescent="0.35"/>
  <cols>
    <col min="1" max="1" width="3" customWidth="1"/>
    <col min="2" max="2" width="32.453125" customWidth="1"/>
    <col min="3" max="4" width="14.453125" customWidth="1"/>
  </cols>
  <sheetData>
    <row r="2" spans="2:7" ht="18" customHeight="1" x14ac:dyDescent="0.45">
      <c r="B2" s="69" t="s">
        <v>106</v>
      </c>
    </row>
    <row r="3" spans="2:7" x14ac:dyDescent="0.35">
      <c r="B3" s="70" t="s">
        <v>107</v>
      </c>
    </row>
    <row r="5" spans="2:7" x14ac:dyDescent="0.35">
      <c r="B5" s="71" t="s">
        <v>108</v>
      </c>
      <c r="C5" s="42">
        <v>0</v>
      </c>
      <c r="E5" t="s">
        <v>149</v>
      </c>
      <c r="F5">
        <f>IF(in_acordo="Sim",in_acordo_prazo,in_prazo)</f>
        <v>18</v>
      </c>
    </row>
    <row r="6" spans="2:7" x14ac:dyDescent="0.35">
      <c r="B6" s="71" t="s">
        <v>109</v>
      </c>
      <c r="C6" s="42">
        <v>1</v>
      </c>
      <c r="E6" t="s">
        <v>150</v>
      </c>
      <c r="F6">
        <f>MAX(1,INT(F5/4))</f>
        <v>4</v>
      </c>
    </row>
    <row r="7" spans="2:7" x14ac:dyDescent="0.35">
      <c r="B7" s="71" t="s">
        <v>110</v>
      </c>
      <c r="C7" s="42">
        <v>1</v>
      </c>
    </row>
    <row r="8" spans="2:7" x14ac:dyDescent="0.35">
      <c r="B8" t="s">
        <v>148</v>
      </c>
      <c r="C8">
        <v>0</v>
      </c>
    </row>
    <row r="10" spans="2:7" x14ac:dyDescent="0.35">
      <c r="B10" s="72" t="s">
        <v>151</v>
      </c>
      <c r="C10" s="46"/>
      <c r="D10" s="46"/>
    </row>
    <row r="11" spans="2:7" x14ac:dyDescent="0.35">
      <c r="B11" s="73" t="e">
        <f>Motor!C42</f>
        <v>#NUM!</v>
      </c>
      <c r="C11" s="73">
        <v>0.8</v>
      </c>
      <c r="D11" s="74">
        <v>0.9</v>
      </c>
      <c r="E11">
        <v>1</v>
      </c>
      <c r="F11">
        <v>1.1000000000000001</v>
      </c>
      <c r="G11">
        <v>1.2</v>
      </c>
    </row>
    <row r="12" spans="2:7" x14ac:dyDescent="0.35">
      <c r="B12" s="43">
        <f>$F$5+(-2)*$F$6</f>
        <v>10</v>
      </c>
      <c r="C12" s="41" t="e">
        <f t="dataTable" ref="C12:G16" dt2D="1" dtr="1" r1="C6" r2="C8" ca="1"/>
        <v>#NUM!</v>
      </c>
      <c r="D12" s="74" t="e">
        <v>#NUM!</v>
      </c>
      <c r="E12" t="e">
        <v>#NUM!</v>
      </c>
      <c r="F12" t="e">
        <v>#NUM!</v>
      </c>
      <c r="G12" t="e">
        <v>#NUM!</v>
      </c>
    </row>
    <row r="13" spans="2:7" x14ac:dyDescent="0.35">
      <c r="B13" s="43">
        <f>$F$5+(-1)*$F$6</f>
        <v>14</v>
      </c>
      <c r="C13" s="41" t="e">
        <v>#NUM!</v>
      </c>
      <c r="D13" s="74" t="e">
        <v>#NUM!</v>
      </c>
      <c r="E13" t="e">
        <v>#NUM!</v>
      </c>
      <c r="F13" t="e">
        <v>#NUM!</v>
      </c>
      <c r="G13" t="e">
        <v>#NUM!</v>
      </c>
    </row>
    <row r="14" spans="2:7" x14ac:dyDescent="0.35">
      <c r="B14" s="76">
        <f>$F$5+(0)*$F$6</f>
        <v>18</v>
      </c>
      <c r="C14" s="77" t="e">
        <v>#NUM!</v>
      </c>
      <c r="D14" s="78" t="e">
        <v>#NUM!</v>
      </c>
      <c r="E14" t="e">
        <v>#NUM!</v>
      </c>
      <c r="F14" t="e">
        <v>#NUM!</v>
      </c>
      <c r="G14" t="e">
        <v>#NUM!</v>
      </c>
    </row>
    <row r="15" spans="2:7" x14ac:dyDescent="0.35">
      <c r="B15" s="43">
        <f>$F$5+(1)*$F$6</f>
        <v>22</v>
      </c>
      <c r="C15" s="41" t="e">
        <v>#NUM!</v>
      </c>
      <c r="D15" s="74" t="e">
        <v>#NUM!</v>
      </c>
      <c r="E15" t="e">
        <v>#NUM!</v>
      </c>
      <c r="F15" t="e">
        <v>#NUM!</v>
      </c>
      <c r="G15" t="e">
        <v>#NUM!</v>
      </c>
    </row>
    <row r="16" spans="2:7" x14ac:dyDescent="0.35">
      <c r="B16" s="43">
        <f>$F$5+(2)*$F$6</f>
        <v>26</v>
      </c>
      <c r="C16" s="41" t="e">
        <v>#NUM!</v>
      </c>
      <c r="D16" s="74" t="e">
        <v>#NUM!</v>
      </c>
      <c r="E16" t="e">
        <v>#NUM!</v>
      </c>
      <c r="F16" t="e">
        <v>#NUM!</v>
      </c>
      <c r="G16" t="e">
        <v>#NUM!</v>
      </c>
    </row>
    <row r="17" spans="2:4" x14ac:dyDescent="0.35">
      <c r="B17" s="43"/>
      <c r="C17" s="41"/>
      <c r="D17" s="74"/>
    </row>
    <row r="20" spans="2:4" x14ac:dyDescent="0.35">
      <c r="B20" s="72"/>
      <c r="C20" s="46"/>
      <c r="D20" s="46"/>
    </row>
    <row r="21" spans="2:4" x14ac:dyDescent="0.35">
      <c r="B21" s="73"/>
      <c r="C21" s="73"/>
      <c r="D21" s="74"/>
    </row>
    <row r="22" spans="2:4" x14ac:dyDescent="0.35">
      <c r="B22" s="75"/>
      <c r="C22" s="41"/>
      <c r="D22" s="74"/>
    </row>
    <row r="23" spans="2:4" x14ac:dyDescent="0.35">
      <c r="B23" s="75"/>
      <c r="C23" s="41"/>
      <c r="D23" s="74"/>
    </row>
    <row r="24" spans="2:4" x14ac:dyDescent="0.35">
      <c r="B24" s="79"/>
      <c r="C24" s="77"/>
      <c r="D24" s="78"/>
    </row>
    <row r="25" spans="2:4" x14ac:dyDescent="0.35">
      <c r="B25" s="75"/>
      <c r="C25" s="41"/>
      <c r="D25" s="74"/>
    </row>
    <row r="26" spans="2:4" x14ac:dyDescent="0.35">
      <c r="B26" s="75"/>
      <c r="C26" s="41"/>
      <c r="D26" s="74"/>
    </row>
    <row r="30" spans="2:4" x14ac:dyDescent="0.35">
      <c r="B30" s="72" t="s">
        <v>111</v>
      </c>
      <c r="C30" s="46"/>
      <c r="D30" s="46"/>
    </row>
    <row r="31" spans="2:4" x14ac:dyDescent="0.35">
      <c r="B31" s="73" t="s">
        <v>10</v>
      </c>
      <c r="C31" s="74" t="e">
        <f>Motor!C42</f>
        <v>#NUM!</v>
      </c>
    </row>
    <row r="32" spans="2:4" x14ac:dyDescent="0.35">
      <c r="B32" s="41">
        <v>0</v>
      </c>
      <c r="C32" s="74" t="e">
        <f t="dataTable" ref="C32:C36" dt2D="0" dtr="0" r1="C7"/>
        <v>#NUM!</v>
      </c>
    </row>
    <row r="33" spans="2:3" x14ac:dyDescent="0.35">
      <c r="B33" s="41">
        <v>0.5</v>
      </c>
      <c r="C33" s="74" t="e">
        <v>#NUM!</v>
      </c>
    </row>
    <row r="34" spans="2:3" x14ac:dyDescent="0.35">
      <c r="B34" s="77">
        <v>1</v>
      </c>
      <c r="C34" s="78" t="e">
        <v>#NUM!</v>
      </c>
    </row>
    <row r="35" spans="2:3" x14ac:dyDescent="0.35">
      <c r="B35" s="41">
        <v>1.5</v>
      </c>
      <c r="C35" s="74" t="e">
        <v>#NUM!</v>
      </c>
    </row>
    <row r="36" spans="2:3" x14ac:dyDescent="0.35">
      <c r="B36" s="41">
        <v>2</v>
      </c>
      <c r="C36" s="74" t="e">
        <v>#NUM!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K1274"/>
  <sheetViews>
    <sheetView workbookViewId="0"/>
  </sheetViews>
  <sheetFormatPr defaultRowHeight="12.5" x14ac:dyDescent="0.25"/>
  <cols>
    <col min="1" max="1" width="11.26953125" style="21" customWidth="1"/>
    <col min="2" max="2" width="18" style="12" customWidth="1"/>
    <col min="3" max="3" width="45.26953125" style="12" customWidth="1"/>
    <col min="4" max="6" width="8.81640625" style="12" customWidth="1"/>
    <col min="7" max="7" width="13.26953125" style="12" customWidth="1"/>
    <col min="8" max="8" width="8.81640625" style="12" customWidth="1"/>
    <col min="9" max="9" width="15" style="12" customWidth="1"/>
    <col min="10" max="10" width="8.81640625" style="12" customWidth="1"/>
    <col min="11" max="11" width="10.1796875" style="12" bestFit="1" customWidth="1"/>
    <col min="12" max="256" width="8.81640625" style="12" customWidth="1"/>
    <col min="257" max="257" width="11.26953125" style="12" customWidth="1"/>
    <col min="258" max="258" width="18" style="12" customWidth="1"/>
    <col min="259" max="259" width="45.26953125" style="12" customWidth="1"/>
    <col min="260" max="262" width="8.81640625" style="12" customWidth="1"/>
    <col min="263" max="263" width="13.26953125" style="12" customWidth="1"/>
    <col min="264" max="264" width="8.81640625" style="12" customWidth="1"/>
    <col min="265" max="265" width="15" style="12" customWidth="1"/>
    <col min="266" max="266" width="8.81640625" style="12" customWidth="1"/>
    <col min="267" max="267" width="10.1796875" style="12" bestFit="1" customWidth="1"/>
    <col min="268" max="512" width="8.81640625" style="12" customWidth="1"/>
    <col min="513" max="513" width="11.26953125" style="12" customWidth="1"/>
    <col min="514" max="514" width="18" style="12" customWidth="1"/>
    <col min="515" max="515" width="45.26953125" style="12" customWidth="1"/>
    <col min="516" max="518" width="8.81640625" style="12" customWidth="1"/>
    <col min="519" max="519" width="13.26953125" style="12" customWidth="1"/>
    <col min="520" max="520" width="8.81640625" style="12" customWidth="1"/>
    <col min="521" max="521" width="15" style="12" customWidth="1"/>
    <col min="522" max="522" width="8.81640625" style="12" customWidth="1"/>
    <col min="523" max="523" width="10.1796875" style="12" bestFit="1" customWidth="1"/>
    <col min="524" max="768" width="8.81640625" style="12" customWidth="1"/>
    <col min="769" max="769" width="11.26953125" style="12" customWidth="1"/>
    <col min="770" max="770" width="18" style="12" customWidth="1"/>
    <col min="771" max="771" width="45.26953125" style="12" customWidth="1"/>
    <col min="772" max="774" width="8.81640625" style="12" customWidth="1"/>
    <col min="775" max="775" width="13.26953125" style="12" customWidth="1"/>
    <col min="776" max="776" width="8.81640625" style="12" customWidth="1"/>
    <col min="777" max="777" width="15" style="12" customWidth="1"/>
    <col min="778" max="778" width="8.81640625" style="12" customWidth="1"/>
    <col min="779" max="779" width="10.1796875" style="12" bestFit="1" customWidth="1"/>
    <col min="780" max="1024" width="8.81640625" style="12" customWidth="1"/>
    <col min="1025" max="1025" width="11.26953125" style="12" customWidth="1"/>
    <col min="1026" max="1026" width="18" style="12" customWidth="1"/>
    <col min="1027" max="1027" width="45.26953125" style="12" customWidth="1"/>
    <col min="1028" max="1030" width="8.81640625" style="12" customWidth="1"/>
    <col min="1031" max="1031" width="13.26953125" style="12" customWidth="1"/>
    <col min="1032" max="1032" width="8.81640625" style="12" customWidth="1"/>
    <col min="1033" max="1033" width="15" style="12" customWidth="1"/>
    <col min="1034" max="1034" width="8.81640625" style="12" customWidth="1"/>
    <col min="1035" max="1035" width="10.1796875" style="12" bestFit="1" customWidth="1"/>
    <col min="1036" max="1280" width="8.81640625" style="12" customWidth="1"/>
    <col min="1281" max="1281" width="11.26953125" style="12" customWidth="1"/>
    <col min="1282" max="1282" width="18" style="12" customWidth="1"/>
    <col min="1283" max="1283" width="45.26953125" style="12" customWidth="1"/>
    <col min="1284" max="1286" width="8.81640625" style="12" customWidth="1"/>
    <col min="1287" max="1287" width="13.26953125" style="12" customWidth="1"/>
    <col min="1288" max="1288" width="8.81640625" style="12" customWidth="1"/>
    <col min="1289" max="1289" width="15" style="12" customWidth="1"/>
    <col min="1290" max="1290" width="8.81640625" style="12" customWidth="1"/>
    <col min="1291" max="1291" width="10.1796875" style="12" bestFit="1" customWidth="1"/>
    <col min="1292" max="1536" width="8.81640625" style="12" customWidth="1"/>
    <col min="1537" max="1537" width="11.26953125" style="12" customWidth="1"/>
    <col min="1538" max="1538" width="18" style="12" customWidth="1"/>
    <col min="1539" max="1539" width="45.26953125" style="12" customWidth="1"/>
    <col min="1540" max="1542" width="8.81640625" style="12" customWidth="1"/>
    <col min="1543" max="1543" width="13.26953125" style="12" customWidth="1"/>
    <col min="1544" max="1544" width="8.81640625" style="12" customWidth="1"/>
    <col min="1545" max="1545" width="15" style="12" customWidth="1"/>
    <col min="1546" max="1546" width="8.81640625" style="12" customWidth="1"/>
    <col min="1547" max="1547" width="10.1796875" style="12" bestFit="1" customWidth="1"/>
    <col min="1548" max="1792" width="8.81640625" style="12" customWidth="1"/>
    <col min="1793" max="1793" width="11.26953125" style="12" customWidth="1"/>
    <col min="1794" max="1794" width="18" style="12" customWidth="1"/>
    <col min="1795" max="1795" width="45.26953125" style="12" customWidth="1"/>
    <col min="1796" max="1798" width="8.81640625" style="12" customWidth="1"/>
    <col min="1799" max="1799" width="13.26953125" style="12" customWidth="1"/>
    <col min="1800" max="1800" width="8.81640625" style="12" customWidth="1"/>
    <col min="1801" max="1801" width="15" style="12" customWidth="1"/>
    <col min="1802" max="1802" width="8.81640625" style="12" customWidth="1"/>
    <col min="1803" max="1803" width="10.1796875" style="12" bestFit="1" customWidth="1"/>
    <col min="1804" max="2048" width="8.81640625" style="12" customWidth="1"/>
    <col min="2049" max="2049" width="11.26953125" style="12" customWidth="1"/>
    <col min="2050" max="2050" width="18" style="12" customWidth="1"/>
    <col min="2051" max="2051" width="45.26953125" style="12" customWidth="1"/>
    <col min="2052" max="2054" width="8.81640625" style="12" customWidth="1"/>
    <col min="2055" max="2055" width="13.26953125" style="12" customWidth="1"/>
    <col min="2056" max="2056" width="8.81640625" style="12" customWidth="1"/>
    <col min="2057" max="2057" width="15" style="12" customWidth="1"/>
    <col min="2058" max="2058" width="8.81640625" style="12" customWidth="1"/>
    <col min="2059" max="2059" width="10.1796875" style="12" bestFit="1" customWidth="1"/>
    <col min="2060" max="2304" width="8.81640625" style="12" customWidth="1"/>
    <col min="2305" max="2305" width="11.26953125" style="12" customWidth="1"/>
    <col min="2306" max="2306" width="18" style="12" customWidth="1"/>
    <col min="2307" max="2307" width="45.26953125" style="12" customWidth="1"/>
    <col min="2308" max="2310" width="8.81640625" style="12" customWidth="1"/>
    <col min="2311" max="2311" width="13.26953125" style="12" customWidth="1"/>
    <col min="2312" max="2312" width="8.81640625" style="12" customWidth="1"/>
    <col min="2313" max="2313" width="15" style="12" customWidth="1"/>
    <col min="2314" max="2314" width="8.81640625" style="12" customWidth="1"/>
    <col min="2315" max="2315" width="10.1796875" style="12" bestFit="1" customWidth="1"/>
    <col min="2316" max="2560" width="8.81640625" style="12" customWidth="1"/>
    <col min="2561" max="2561" width="11.26953125" style="12" customWidth="1"/>
    <col min="2562" max="2562" width="18" style="12" customWidth="1"/>
    <col min="2563" max="2563" width="45.26953125" style="12" customWidth="1"/>
    <col min="2564" max="2566" width="8.81640625" style="12" customWidth="1"/>
    <col min="2567" max="2567" width="13.26953125" style="12" customWidth="1"/>
    <col min="2568" max="2568" width="8.81640625" style="12" customWidth="1"/>
    <col min="2569" max="2569" width="15" style="12" customWidth="1"/>
    <col min="2570" max="2570" width="8.81640625" style="12" customWidth="1"/>
    <col min="2571" max="2571" width="10.1796875" style="12" bestFit="1" customWidth="1"/>
    <col min="2572" max="2816" width="8.81640625" style="12" customWidth="1"/>
    <col min="2817" max="2817" width="11.26953125" style="12" customWidth="1"/>
    <col min="2818" max="2818" width="18" style="12" customWidth="1"/>
    <col min="2819" max="2819" width="45.26953125" style="12" customWidth="1"/>
    <col min="2820" max="2822" width="8.81640625" style="12" customWidth="1"/>
    <col min="2823" max="2823" width="13.26953125" style="12" customWidth="1"/>
    <col min="2824" max="2824" width="8.81640625" style="12" customWidth="1"/>
    <col min="2825" max="2825" width="15" style="12" customWidth="1"/>
    <col min="2826" max="2826" width="8.81640625" style="12" customWidth="1"/>
    <col min="2827" max="2827" width="10.1796875" style="12" bestFit="1" customWidth="1"/>
    <col min="2828" max="3072" width="8.81640625" style="12" customWidth="1"/>
    <col min="3073" max="3073" width="11.26953125" style="12" customWidth="1"/>
    <col min="3074" max="3074" width="18" style="12" customWidth="1"/>
    <col min="3075" max="3075" width="45.26953125" style="12" customWidth="1"/>
    <col min="3076" max="3078" width="8.81640625" style="12" customWidth="1"/>
    <col min="3079" max="3079" width="13.26953125" style="12" customWidth="1"/>
    <col min="3080" max="3080" width="8.81640625" style="12" customWidth="1"/>
    <col min="3081" max="3081" width="15" style="12" customWidth="1"/>
    <col min="3082" max="3082" width="8.81640625" style="12" customWidth="1"/>
    <col min="3083" max="3083" width="10.1796875" style="12" bestFit="1" customWidth="1"/>
    <col min="3084" max="3328" width="8.81640625" style="12" customWidth="1"/>
    <col min="3329" max="3329" width="11.26953125" style="12" customWidth="1"/>
    <col min="3330" max="3330" width="18" style="12" customWidth="1"/>
    <col min="3331" max="3331" width="45.26953125" style="12" customWidth="1"/>
    <col min="3332" max="3334" width="8.81640625" style="12" customWidth="1"/>
    <col min="3335" max="3335" width="13.26953125" style="12" customWidth="1"/>
    <col min="3336" max="3336" width="8.81640625" style="12" customWidth="1"/>
    <col min="3337" max="3337" width="15" style="12" customWidth="1"/>
    <col min="3338" max="3338" width="8.81640625" style="12" customWidth="1"/>
    <col min="3339" max="3339" width="10.1796875" style="12" bestFit="1" customWidth="1"/>
    <col min="3340" max="3584" width="8.81640625" style="12" customWidth="1"/>
    <col min="3585" max="3585" width="11.26953125" style="12" customWidth="1"/>
    <col min="3586" max="3586" width="18" style="12" customWidth="1"/>
    <col min="3587" max="3587" width="45.26953125" style="12" customWidth="1"/>
    <col min="3588" max="3590" width="8.81640625" style="12" customWidth="1"/>
    <col min="3591" max="3591" width="13.26953125" style="12" customWidth="1"/>
    <col min="3592" max="3592" width="8.81640625" style="12" customWidth="1"/>
    <col min="3593" max="3593" width="15" style="12" customWidth="1"/>
    <col min="3594" max="3594" width="8.81640625" style="12" customWidth="1"/>
    <col min="3595" max="3595" width="10.1796875" style="12" bestFit="1" customWidth="1"/>
    <col min="3596" max="3840" width="8.81640625" style="12" customWidth="1"/>
    <col min="3841" max="3841" width="11.26953125" style="12" customWidth="1"/>
    <col min="3842" max="3842" width="18" style="12" customWidth="1"/>
    <col min="3843" max="3843" width="45.26953125" style="12" customWidth="1"/>
    <col min="3844" max="3846" width="8.81640625" style="12" customWidth="1"/>
    <col min="3847" max="3847" width="13.26953125" style="12" customWidth="1"/>
    <col min="3848" max="3848" width="8.81640625" style="12" customWidth="1"/>
    <col min="3849" max="3849" width="15" style="12" customWidth="1"/>
    <col min="3850" max="3850" width="8.81640625" style="12" customWidth="1"/>
    <col min="3851" max="3851" width="10.1796875" style="12" bestFit="1" customWidth="1"/>
    <col min="3852" max="4096" width="8.81640625" style="12" customWidth="1"/>
    <col min="4097" max="4097" width="11.26953125" style="12" customWidth="1"/>
    <col min="4098" max="4098" width="18" style="12" customWidth="1"/>
    <col min="4099" max="4099" width="45.26953125" style="12" customWidth="1"/>
    <col min="4100" max="4102" width="8.81640625" style="12" customWidth="1"/>
    <col min="4103" max="4103" width="13.26953125" style="12" customWidth="1"/>
    <col min="4104" max="4104" width="8.81640625" style="12" customWidth="1"/>
    <col min="4105" max="4105" width="15" style="12" customWidth="1"/>
    <col min="4106" max="4106" width="8.81640625" style="12" customWidth="1"/>
    <col min="4107" max="4107" width="10.1796875" style="12" bestFit="1" customWidth="1"/>
    <col min="4108" max="4352" width="8.81640625" style="12" customWidth="1"/>
    <col min="4353" max="4353" width="11.26953125" style="12" customWidth="1"/>
    <col min="4354" max="4354" width="18" style="12" customWidth="1"/>
    <col min="4355" max="4355" width="45.26953125" style="12" customWidth="1"/>
    <col min="4356" max="4358" width="8.81640625" style="12" customWidth="1"/>
    <col min="4359" max="4359" width="13.26953125" style="12" customWidth="1"/>
    <col min="4360" max="4360" width="8.81640625" style="12" customWidth="1"/>
    <col min="4361" max="4361" width="15" style="12" customWidth="1"/>
    <col min="4362" max="4362" width="8.81640625" style="12" customWidth="1"/>
    <col min="4363" max="4363" width="10.1796875" style="12" bestFit="1" customWidth="1"/>
    <col min="4364" max="4608" width="8.81640625" style="12" customWidth="1"/>
    <col min="4609" max="4609" width="11.26953125" style="12" customWidth="1"/>
    <col min="4610" max="4610" width="18" style="12" customWidth="1"/>
    <col min="4611" max="4611" width="45.26953125" style="12" customWidth="1"/>
    <col min="4612" max="4614" width="8.81640625" style="12" customWidth="1"/>
    <col min="4615" max="4615" width="13.26953125" style="12" customWidth="1"/>
    <col min="4616" max="4616" width="8.81640625" style="12" customWidth="1"/>
    <col min="4617" max="4617" width="15" style="12" customWidth="1"/>
    <col min="4618" max="4618" width="8.81640625" style="12" customWidth="1"/>
    <col min="4619" max="4619" width="10.1796875" style="12" bestFit="1" customWidth="1"/>
    <col min="4620" max="4864" width="8.81640625" style="12" customWidth="1"/>
    <col min="4865" max="4865" width="11.26953125" style="12" customWidth="1"/>
    <col min="4866" max="4866" width="18" style="12" customWidth="1"/>
    <col min="4867" max="4867" width="45.26953125" style="12" customWidth="1"/>
    <col min="4868" max="4870" width="8.81640625" style="12" customWidth="1"/>
    <col min="4871" max="4871" width="13.26953125" style="12" customWidth="1"/>
    <col min="4872" max="4872" width="8.81640625" style="12" customWidth="1"/>
    <col min="4873" max="4873" width="15" style="12" customWidth="1"/>
    <col min="4874" max="4874" width="8.81640625" style="12" customWidth="1"/>
    <col min="4875" max="4875" width="10.1796875" style="12" bestFit="1" customWidth="1"/>
    <col min="4876" max="5120" width="8.81640625" style="12" customWidth="1"/>
    <col min="5121" max="5121" width="11.26953125" style="12" customWidth="1"/>
    <col min="5122" max="5122" width="18" style="12" customWidth="1"/>
    <col min="5123" max="5123" width="45.26953125" style="12" customWidth="1"/>
    <col min="5124" max="5126" width="8.81640625" style="12" customWidth="1"/>
    <col min="5127" max="5127" width="13.26953125" style="12" customWidth="1"/>
    <col min="5128" max="5128" width="8.81640625" style="12" customWidth="1"/>
    <col min="5129" max="5129" width="15" style="12" customWidth="1"/>
    <col min="5130" max="5130" width="8.81640625" style="12" customWidth="1"/>
    <col min="5131" max="5131" width="10.1796875" style="12" bestFit="1" customWidth="1"/>
    <col min="5132" max="5376" width="8.81640625" style="12" customWidth="1"/>
    <col min="5377" max="5377" width="11.26953125" style="12" customWidth="1"/>
    <col min="5378" max="5378" width="18" style="12" customWidth="1"/>
    <col min="5379" max="5379" width="45.26953125" style="12" customWidth="1"/>
    <col min="5380" max="5382" width="8.81640625" style="12" customWidth="1"/>
    <col min="5383" max="5383" width="13.26953125" style="12" customWidth="1"/>
    <col min="5384" max="5384" width="8.81640625" style="12" customWidth="1"/>
    <col min="5385" max="5385" width="15" style="12" customWidth="1"/>
    <col min="5386" max="5386" width="8.81640625" style="12" customWidth="1"/>
    <col min="5387" max="5387" width="10.1796875" style="12" bestFit="1" customWidth="1"/>
    <col min="5388" max="5632" width="8.81640625" style="12" customWidth="1"/>
    <col min="5633" max="5633" width="11.26953125" style="12" customWidth="1"/>
    <col min="5634" max="5634" width="18" style="12" customWidth="1"/>
    <col min="5635" max="5635" width="45.26953125" style="12" customWidth="1"/>
    <col min="5636" max="5638" width="8.81640625" style="12" customWidth="1"/>
    <col min="5639" max="5639" width="13.26953125" style="12" customWidth="1"/>
    <col min="5640" max="5640" width="8.81640625" style="12" customWidth="1"/>
    <col min="5641" max="5641" width="15" style="12" customWidth="1"/>
    <col min="5642" max="5642" width="8.81640625" style="12" customWidth="1"/>
    <col min="5643" max="5643" width="10.1796875" style="12" bestFit="1" customWidth="1"/>
    <col min="5644" max="5888" width="8.81640625" style="12" customWidth="1"/>
    <col min="5889" max="5889" width="11.26953125" style="12" customWidth="1"/>
    <col min="5890" max="5890" width="18" style="12" customWidth="1"/>
    <col min="5891" max="5891" width="45.26953125" style="12" customWidth="1"/>
    <col min="5892" max="5894" width="8.81640625" style="12" customWidth="1"/>
    <col min="5895" max="5895" width="13.26953125" style="12" customWidth="1"/>
    <col min="5896" max="5896" width="8.81640625" style="12" customWidth="1"/>
    <col min="5897" max="5897" width="15" style="12" customWidth="1"/>
    <col min="5898" max="5898" width="8.81640625" style="12" customWidth="1"/>
    <col min="5899" max="5899" width="10.1796875" style="12" bestFit="1" customWidth="1"/>
    <col min="5900" max="6144" width="8.81640625" style="12" customWidth="1"/>
    <col min="6145" max="6145" width="11.26953125" style="12" customWidth="1"/>
    <col min="6146" max="6146" width="18" style="12" customWidth="1"/>
    <col min="6147" max="6147" width="45.26953125" style="12" customWidth="1"/>
    <col min="6148" max="6150" width="8.81640625" style="12" customWidth="1"/>
    <col min="6151" max="6151" width="13.26953125" style="12" customWidth="1"/>
    <col min="6152" max="6152" width="8.81640625" style="12" customWidth="1"/>
    <col min="6153" max="6153" width="15" style="12" customWidth="1"/>
    <col min="6154" max="6154" width="8.81640625" style="12" customWidth="1"/>
    <col min="6155" max="6155" width="10.1796875" style="12" bestFit="1" customWidth="1"/>
    <col min="6156" max="6400" width="8.81640625" style="12" customWidth="1"/>
    <col min="6401" max="6401" width="11.26953125" style="12" customWidth="1"/>
    <col min="6402" max="6402" width="18" style="12" customWidth="1"/>
    <col min="6403" max="6403" width="45.26953125" style="12" customWidth="1"/>
    <col min="6404" max="6406" width="8.81640625" style="12" customWidth="1"/>
    <col min="6407" max="6407" width="13.26953125" style="12" customWidth="1"/>
    <col min="6408" max="6408" width="8.81640625" style="12" customWidth="1"/>
    <col min="6409" max="6409" width="15" style="12" customWidth="1"/>
    <col min="6410" max="6410" width="8.81640625" style="12" customWidth="1"/>
    <col min="6411" max="6411" width="10.1796875" style="12" bestFit="1" customWidth="1"/>
    <col min="6412" max="6656" width="8.81640625" style="12" customWidth="1"/>
    <col min="6657" max="6657" width="11.26953125" style="12" customWidth="1"/>
    <col min="6658" max="6658" width="18" style="12" customWidth="1"/>
    <col min="6659" max="6659" width="45.26953125" style="12" customWidth="1"/>
    <col min="6660" max="6662" width="8.81640625" style="12" customWidth="1"/>
    <col min="6663" max="6663" width="13.26953125" style="12" customWidth="1"/>
    <col min="6664" max="6664" width="8.81640625" style="12" customWidth="1"/>
    <col min="6665" max="6665" width="15" style="12" customWidth="1"/>
    <col min="6666" max="6666" width="8.81640625" style="12" customWidth="1"/>
    <col min="6667" max="6667" width="10.1796875" style="12" bestFit="1" customWidth="1"/>
    <col min="6668" max="6912" width="8.81640625" style="12" customWidth="1"/>
    <col min="6913" max="6913" width="11.26953125" style="12" customWidth="1"/>
    <col min="6914" max="6914" width="18" style="12" customWidth="1"/>
    <col min="6915" max="6915" width="45.26953125" style="12" customWidth="1"/>
    <col min="6916" max="6918" width="8.81640625" style="12" customWidth="1"/>
    <col min="6919" max="6919" width="13.26953125" style="12" customWidth="1"/>
    <col min="6920" max="6920" width="8.81640625" style="12" customWidth="1"/>
    <col min="6921" max="6921" width="15" style="12" customWidth="1"/>
    <col min="6922" max="6922" width="8.81640625" style="12" customWidth="1"/>
    <col min="6923" max="6923" width="10.1796875" style="12" bestFit="1" customWidth="1"/>
    <col min="6924" max="7168" width="8.81640625" style="12" customWidth="1"/>
    <col min="7169" max="7169" width="11.26953125" style="12" customWidth="1"/>
    <col min="7170" max="7170" width="18" style="12" customWidth="1"/>
    <col min="7171" max="7171" width="45.26953125" style="12" customWidth="1"/>
    <col min="7172" max="7174" width="8.81640625" style="12" customWidth="1"/>
    <col min="7175" max="7175" width="13.26953125" style="12" customWidth="1"/>
    <col min="7176" max="7176" width="8.81640625" style="12" customWidth="1"/>
    <col min="7177" max="7177" width="15" style="12" customWidth="1"/>
    <col min="7178" max="7178" width="8.81640625" style="12" customWidth="1"/>
    <col min="7179" max="7179" width="10.1796875" style="12" bestFit="1" customWidth="1"/>
    <col min="7180" max="7424" width="8.81640625" style="12" customWidth="1"/>
    <col min="7425" max="7425" width="11.26953125" style="12" customWidth="1"/>
    <col min="7426" max="7426" width="18" style="12" customWidth="1"/>
    <col min="7427" max="7427" width="45.26953125" style="12" customWidth="1"/>
    <col min="7428" max="7430" width="8.81640625" style="12" customWidth="1"/>
    <col min="7431" max="7431" width="13.26953125" style="12" customWidth="1"/>
    <col min="7432" max="7432" width="8.81640625" style="12" customWidth="1"/>
    <col min="7433" max="7433" width="15" style="12" customWidth="1"/>
    <col min="7434" max="7434" width="8.81640625" style="12" customWidth="1"/>
    <col min="7435" max="7435" width="10.1796875" style="12" bestFit="1" customWidth="1"/>
    <col min="7436" max="7680" width="8.81640625" style="12" customWidth="1"/>
    <col min="7681" max="7681" width="11.26953125" style="12" customWidth="1"/>
    <col min="7682" max="7682" width="18" style="12" customWidth="1"/>
    <col min="7683" max="7683" width="45.26953125" style="12" customWidth="1"/>
    <col min="7684" max="7686" width="8.81640625" style="12" customWidth="1"/>
    <col min="7687" max="7687" width="13.26953125" style="12" customWidth="1"/>
    <col min="7688" max="7688" width="8.81640625" style="12" customWidth="1"/>
    <col min="7689" max="7689" width="15" style="12" customWidth="1"/>
    <col min="7690" max="7690" width="8.81640625" style="12" customWidth="1"/>
    <col min="7691" max="7691" width="10.1796875" style="12" bestFit="1" customWidth="1"/>
    <col min="7692" max="7936" width="8.81640625" style="12" customWidth="1"/>
    <col min="7937" max="7937" width="11.26953125" style="12" customWidth="1"/>
    <col min="7938" max="7938" width="18" style="12" customWidth="1"/>
    <col min="7939" max="7939" width="45.26953125" style="12" customWidth="1"/>
    <col min="7940" max="7942" width="8.81640625" style="12" customWidth="1"/>
    <col min="7943" max="7943" width="13.26953125" style="12" customWidth="1"/>
    <col min="7944" max="7944" width="8.81640625" style="12" customWidth="1"/>
    <col min="7945" max="7945" width="15" style="12" customWidth="1"/>
    <col min="7946" max="7946" width="8.81640625" style="12" customWidth="1"/>
    <col min="7947" max="7947" width="10.1796875" style="12" bestFit="1" customWidth="1"/>
    <col min="7948" max="8192" width="8.81640625" style="12" customWidth="1"/>
    <col min="8193" max="8193" width="11.26953125" style="12" customWidth="1"/>
    <col min="8194" max="8194" width="18" style="12" customWidth="1"/>
    <col min="8195" max="8195" width="45.26953125" style="12" customWidth="1"/>
    <col min="8196" max="8198" width="8.81640625" style="12" customWidth="1"/>
    <col min="8199" max="8199" width="13.26953125" style="12" customWidth="1"/>
    <col min="8200" max="8200" width="8.81640625" style="12" customWidth="1"/>
    <col min="8201" max="8201" width="15" style="12" customWidth="1"/>
    <col min="8202" max="8202" width="8.81640625" style="12" customWidth="1"/>
    <col min="8203" max="8203" width="10.1796875" style="12" bestFit="1" customWidth="1"/>
    <col min="8204" max="8448" width="8.81640625" style="12" customWidth="1"/>
    <col min="8449" max="8449" width="11.26953125" style="12" customWidth="1"/>
    <col min="8450" max="8450" width="18" style="12" customWidth="1"/>
    <col min="8451" max="8451" width="45.26953125" style="12" customWidth="1"/>
    <col min="8452" max="8454" width="8.81640625" style="12" customWidth="1"/>
    <col min="8455" max="8455" width="13.26953125" style="12" customWidth="1"/>
    <col min="8456" max="8456" width="8.81640625" style="12" customWidth="1"/>
    <col min="8457" max="8457" width="15" style="12" customWidth="1"/>
    <col min="8458" max="8458" width="8.81640625" style="12" customWidth="1"/>
    <col min="8459" max="8459" width="10.1796875" style="12" bestFit="1" customWidth="1"/>
    <col min="8460" max="8704" width="8.81640625" style="12" customWidth="1"/>
    <col min="8705" max="8705" width="11.26953125" style="12" customWidth="1"/>
    <col min="8706" max="8706" width="18" style="12" customWidth="1"/>
    <col min="8707" max="8707" width="45.26953125" style="12" customWidth="1"/>
    <col min="8708" max="8710" width="8.81640625" style="12" customWidth="1"/>
    <col min="8711" max="8711" width="13.26953125" style="12" customWidth="1"/>
    <col min="8712" max="8712" width="8.81640625" style="12" customWidth="1"/>
    <col min="8713" max="8713" width="15" style="12" customWidth="1"/>
    <col min="8714" max="8714" width="8.81640625" style="12" customWidth="1"/>
    <col min="8715" max="8715" width="10.1796875" style="12" bestFit="1" customWidth="1"/>
    <col min="8716" max="8960" width="8.81640625" style="12" customWidth="1"/>
    <col min="8961" max="8961" width="11.26953125" style="12" customWidth="1"/>
    <col min="8962" max="8962" width="18" style="12" customWidth="1"/>
    <col min="8963" max="8963" width="45.26953125" style="12" customWidth="1"/>
    <col min="8964" max="8966" width="8.81640625" style="12" customWidth="1"/>
    <col min="8967" max="8967" width="13.26953125" style="12" customWidth="1"/>
    <col min="8968" max="8968" width="8.81640625" style="12" customWidth="1"/>
    <col min="8969" max="8969" width="15" style="12" customWidth="1"/>
    <col min="8970" max="8970" width="8.81640625" style="12" customWidth="1"/>
    <col min="8971" max="8971" width="10.1796875" style="12" bestFit="1" customWidth="1"/>
    <col min="8972" max="9216" width="8.81640625" style="12" customWidth="1"/>
    <col min="9217" max="9217" width="11.26953125" style="12" customWidth="1"/>
    <col min="9218" max="9218" width="18" style="12" customWidth="1"/>
    <col min="9219" max="9219" width="45.26953125" style="12" customWidth="1"/>
    <col min="9220" max="9222" width="8.81640625" style="12" customWidth="1"/>
    <col min="9223" max="9223" width="13.26953125" style="12" customWidth="1"/>
    <col min="9224" max="9224" width="8.81640625" style="12" customWidth="1"/>
    <col min="9225" max="9225" width="15" style="12" customWidth="1"/>
    <col min="9226" max="9226" width="8.81640625" style="12" customWidth="1"/>
    <col min="9227" max="9227" width="10.1796875" style="12" bestFit="1" customWidth="1"/>
    <col min="9228" max="9472" width="8.81640625" style="12" customWidth="1"/>
    <col min="9473" max="9473" width="11.26953125" style="12" customWidth="1"/>
    <col min="9474" max="9474" width="18" style="12" customWidth="1"/>
    <col min="9475" max="9475" width="45.26953125" style="12" customWidth="1"/>
    <col min="9476" max="9478" width="8.81640625" style="12" customWidth="1"/>
    <col min="9479" max="9479" width="13.26953125" style="12" customWidth="1"/>
    <col min="9480" max="9480" width="8.81640625" style="12" customWidth="1"/>
    <col min="9481" max="9481" width="15" style="12" customWidth="1"/>
    <col min="9482" max="9482" width="8.81640625" style="12" customWidth="1"/>
    <col min="9483" max="9483" width="10.1796875" style="12" bestFit="1" customWidth="1"/>
    <col min="9484" max="9728" width="8.81640625" style="12" customWidth="1"/>
    <col min="9729" max="9729" width="11.26953125" style="12" customWidth="1"/>
    <col min="9730" max="9730" width="18" style="12" customWidth="1"/>
    <col min="9731" max="9731" width="45.26953125" style="12" customWidth="1"/>
    <col min="9732" max="9734" width="8.81640625" style="12" customWidth="1"/>
    <col min="9735" max="9735" width="13.26953125" style="12" customWidth="1"/>
    <col min="9736" max="9736" width="8.81640625" style="12" customWidth="1"/>
    <col min="9737" max="9737" width="15" style="12" customWidth="1"/>
    <col min="9738" max="9738" width="8.81640625" style="12" customWidth="1"/>
    <col min="9739" max="9739" width="10.1796875" style="12" bestFit="1" customWidth="1"/>
    <col min="9740" max="9984" width="8.81640625" style="12" customWidth="1"/>
    <col min="9985" max="9985" width="11.26953125" style="12" customWidth="1"/>
    <col min="9986" max="9986" width="18" style="12" customWidth="1"/>
    <col min="9987" max="9987" width="45.26953125" style="12" customWidth="1"/>
    <col min="9988" max="9990" width="8.81640625" style="12" customWidth="1"/>
    <col min="9991" max="9991" width="13.26953125" style="12" customWidth="1"/>
    <col min="9992" max="9992" width="8.81640625" style="12" customWidth="1"/>
    <col min="9993" max="9993" width="15" style="12" customWidth="1"/>
    <col min="9994" max="9994" width="8.81640625" style="12" customWidth="1"/>
    <col min="9995" max="9995" width="10.1796875" style="12" bestFit="1" customWidth="1"/>
    <col min="9996" max="10240" width="8.81640625" style="12" customWidth="1"/>
    <col min="10241" max="10241" width="11.26953125" style="12" customWidth="1"/>
    <col min="10242" max="10242" width="18" style="12" customWidth="1"/>
    <col min="10243" max="10243" width="45.26953125" style="12" customWidth="1"/>
    <col min="10244" max="10246" width="8.81640625" style="12" customWidth="1"/>
    <col min="10247" max="10247" width="13.26953125" style="12" customWidth="1"/>
    <col min="10248" max="10248" width="8.81640625" style="12" customWidth="1"/>
    <col min="10249" max="10249" width="15" style="12" customWidth="1"/>
    <col min="10250" max="10250" width="8.81640625" style="12" customWidth="1"/>
    <col min="10251" max="10251" width="10.1796875" style="12" bestFit="1" customWidth="1"/>
    <col min="10252" max="10496" width="8.81640625" style="12" customWidth="1"/>
    <col min="10497" max="10497" width="11.26953125" style="12" customWidth="1"/>
    <col min="10498" max="10498" width="18" style="12" customWidth="1"/>
    <col min="10499" max="10499" width="45.26953125" style="12" customWidth="1"/>
    <col min="10500" max="10502" width="8.81640625" style="12" customWidth="1"/>
    <col min="10503" max="10503" width="13.26953125" style="12" customWidth="1"/>
    <col min="10504" max="10504" width="8.81640625" style="12" customWidth="1"/>
    <col min="10505" max="10505" width="15" style="12" customWidth="1"/>
    <col min="10506" max="10506" width="8.81640625" style="12" customWidth="1"/>
    <col min="10507" max="10507" width="10.1796875" style="12" bestFit="1" customWidth="1"/>
    <col min="10508" max="10752" width="8.81640625" style="12" customWidth="1"/>
    <col min="10753" max="10753" width="11.26953125" style="12" customWidth="1"/>
    <col min="10754" max="10754" width="18" style="12" customWidth="1"/>
    <col min="10755" max="10755" width="45.26953125" style="12" customWidth="1"/>
    <col min="10756" max="10758" width="8.81640625" style="12" customWidth="1"/>
    <col min="10759" max="10759" width="13.26953125" style="12" customWidth="1"/>
    <col min="10760" max="10760" width="8.81640625" style="12" customWidth="1"/>
    <col min="10761" max="10761" width="15" style="12" customWidth="1"/>
    <col min="10762" max="10762" width="8.81640625" style="12" customWidth="1"/>
    <col min="10763" max="10763" width="10.1796875" style="12" bestFit="1" customWidth="1"/>
    <col min="10764" max="11008" width="8.81640625" style="12" customWidth="1"/>
    <col min="11009" max="11009" width="11.26953125" style="12" customWidth="1"/>
    <col min="11010" max="11010" width="18" style="12" customWidth="1"/>
    <col min="11011" max="11011" width="45.26953125" style="12" customWidth="1"/>
    <col min="11012" max="11014" width="8.81640625" style="12" customWidth="1"/>
    <col min="11015" max="11015" width="13.26953125" style="12" customWidth="1"/>
    <col min="11016" max="11016" width="8.81640625" style="12" customWidth="1"/>
    <col min="11017" max="11017" width="15" style="12" customWidth="1"/>
    <col min="11018" max="11018" width="8.81640625" style="12" customWidth="1"/>
    <col min="11019" max="11019" width="10.1796875" style="12" bestFit="1" customWidth="1"/>
    <col min="11020" max="11264" width="8.81640625" style="12" customWidth="1"/>
    <col min="11265" max="11265" width="11.26953125" style="12" customWidth="1"/>
    <col min="11266" max="11266" width="18" style="12" customWidth="1"/>
    <col min="11267" max="11267" width="45.26953125" style="12" customWidth="1"/>
    <col min="11268" max="11270" width="8.81640625" style="12" customWidth="1"/>
    <col min="11271" max="11271" width="13.26953125" style="12" customWidth="1"/>
    <col min="11272" max="11272" width="8.81640625" style="12" customWidth="1"/>
    <col min="11273" max="11273" width="15" style="12" customWidth="1"/>
    <col min="11274" max="11274" width="8.81640625" style="12" customWidth="1"/>
    <col min="11275" max="11275" width="10.1796875" style="12" bestFit="1" customWidth="1"/>
    <col min="11276" max="11520" width="8.81640625" style="12" customWidth="1"/>
    <col min="11521" max="11521" width="11.26953125" style="12" customWidth="1"/>
    <col min="11522" max="11522" width="18" style="12" customWidth="1"/>
    <col min="11523" max="11523" width="45.26953125" style="12" customWidth="1"/>
    <col min="11524" max="11526" width="8.81640625" style="12" customWidth="1"/>
    <col min="11527" max="11527" width="13.26953125" style="12" customWidth="1"/>
    <col min="11528" max="11528" width="8.81640625" style="12" customWidth="1"/>
    <col min="11529" max="11529" width="15" style="12" customWidth="1"/>
    <col min="11530" max="11530" width="8.81640625" style="12" customWidth="1"/>
    <col min="11531" max="11531" width="10.1796875" style="12" bestFit="1" customWidth="1"/>
    <col min="11532" max="11776" width="8.81640625" style="12" customWidth="1"/>
    <col min="11777" max="11777" width="11.26953125" style="12" customWidth="1"/>
    <col min="11778" max="11778" width="18" style="12" customWidth="1"/>
    <col min="11779" max="11779" width="45.26953125" style="12" customWidth="1"/>
    <col min="11780" max="11782" width="8.81640625" style="12" customWidth="1"/>
    <col min="11783" max="11783" width="13.26953125" style="12" customWidth="1"/>
    <col min="11784" max="11784" width="8.81640625" style="12" customWidth="1"/>
    <col min="11785" max="11785" width="15" style="12" customWidth="1"/>
    <col min="11786" max="11786" width="8.81640625" style="12" customWidth="1"/>
    <col min="11787" max="11787" width="10.1796875" style="12" bestFit="1" customWidth="1"/>
    <col min="11788" max="12032" width="8.81640625" style="12" customWidth="1"/>
    <col min="12033" max="12033" width="11.26953125" style="12" customWidth="1"/>
    <col min="12034" max="12034" width="18" style="12" customWidth="1"/>
    <col min="12035" max="12035" width="45.26953125" style="12" customWidth="1"/>
    <col min="12036" max="12038" width="8.81640625" style="12" customWidth="1"/>
    <col min="12039" max="12039" width="13.26953125" style="12" customWidth="1"/>
    <col min="12040" max="12040" width="8.81640625" style="12" customWidth="1"/>
    <col min="12041" max="12041" width="15" style="12" customWidth="1"/>
    <col min="12042" max="12042" width="8.81640625" style="12" customWidth="1"/>
    <col min="12043" max="12043" width="10.1796875" style="12" bestFit="1" customWidth="1"/>
    <col min="12044" max="12288" width="8.81640625" style="12" customWidth="1"/>
    <col min="12289" max="12289" width="11.26953125" style="12" customWidth="1"/>
    <col min="12290" max="12290" width="18" style="12" customWidth="1"/>
    <col min="12291" max="12291" width="45.26953125" style="12" customWidth="1"/>
    <col min="12292" max="12294" width="8.81640625" style="12" customWidth="1"/>
    <col min="12295" max="12295" width="13.26953125" style="12" customWidth="1"/>
    <col min="12296" max="12296" width="8.81640625" style="12" customWidth="1"/>
    <col min="12297" max="12297" width="15" style="12" customWidth="1"/>
    <col min="12298" max="12298" width="8.81640625" style="12" customWidth="1"/>
    <col min="12299" max="12299" width="10.1796875" style="12" bestFit="1" customWidth="1"/>
    <col min="12300" max="12544" width="8.81640625" style="12" customWidth="1"/>
    <col min="12545" max="12545" width="11.26953125" style="12" customWidth="1"/>
    <col min="12546" max="12546" width="18" style="12" customWidth="1"/>
    <col min="12547" max="12547" width="45.26953125" style="12" customWidth="1"/>
    <col min="12548" max="12550" width="8.81640625" style="12" customWidth="1"/>
    <col min="12551" max="12551" width="13.26953125" style="12" customWidth="1"/>
    <col min="12552" max="12552" width="8.81640625" style="12" customWidth="1"/>
    <col min="12553" max="12553" width="15" style="12" customWidth="1"/>
    <col min="12554" max="12554" width="8.81640625" style="12" customWidth="1"/>
    <col min="12555" max="12555" width="10.1796875" style="12" bestFit="1" customWidth="1"/>
    <col min="12556" max="12800" width="8.81640625" style="12" customWidth="1"/>
    <col min="12801" max="12801" width="11.26953125" style="12" customWidth="1"/>
    <col min="12802" max="12802" width="18" style="12" customWidth="1"/>
    <col min="12803" max="12803" width="45.26953125" style="12" customWidth="1"/>
    <col min="12804" max="12806" width="8.81640625" style="12" customWidth="1"/>
    <col min="12807" max="12807" width="13.26953125" style="12" customWidth="1"/>
    <col min="12808" max="12808" width="8.81640625" style="12" customWidth="1"/>
    <col min="12809" max="12809" width="15" style="12" customWidth="1"/>
    <col min="12810" max="12810" width="8.81640625" style="12" customWidth="1"/>
    <col min="12811" max="12811" width="10.1796875" style="12" bestFit="1" customWidth="1"/>
    <col min="12812" max="13056" width="8.81640625" style="12" customWidth="1"/>
    <col min="13057" max="13057" width="11.26953125" style="12" customWidth="1"/>
    <col min="13058" max="13058" width="18" style="12" customWidth="1"/>
    <col min="13059" max="13059" width="45.26953125" style="12" customWidth="1"/>
    <col min="13060" max="13062" width="8.81640625" style="12" customWidth="1"/>
    <col min="13063" max="13063" width="13.26953125" style="12" customWidth="1"/>
    <col min="13064" max="13064" width="8.81640625" style="12" customWidth="1"/>
    <col min="13065" max="13065" width="15" style="12" customWidth="1"/>
    <col min="13066" max="13066" width="8.81640625" style="12" customWidth="1"/>
    <col min="13067" max="13067" width="10.1796875" style="12" bestFit="1" customWidth="1"/>
    <col min="13068" max="13312" width="8.81640625" style="12" customWidth="1"/>
    <col min="13313" max="13313" width="11.26953125" style="12" customWidth="1"/>
    <col min="13314" max="13314" width="18" style="12" customWidth="1"/>
    <col min="13315" max="13315" width="45.26953125" style="12" customWidth="1"/>
    <col min="13316" max="13318" width="8.81640625" style="12" customWidth="1"/>
    <col min="13319" max="13319" width="13.26953125" style="12" customWidth="1"/>
    <col min="13320" max="13320" width="8.81640625" style="12" customWidth="1"/>
    <col min="13321" max="13321" width="15" style="12" customWidth="1"/>
    <col min="13322" max="13322" width="8.81640625" style="12" customWidth="1"/>
    <col min="13323" max="13323" width="10.1796875" style="12" bestFit="1" customWidth="1"/>
    <col min="13324" max="13568" width="8.81640625" style="12" customWidth="1"/>
    <col min="13569" max="13569" width="11.26953125" style="12" customWidth="1"/>
    <col min="13570" max="13570" width="18" style="12" customWidth="1"/>
    <col min="13571" max="13571" width="45.26953125" style="12" customWidth="1"/>
    <col min="13572" max="13574" width="8.81640625" style="12" customWidth="1"/>
    <col min="13575" max="13575" width="13.26953125" style="12" customWidth="1"/>
    <col min="13576" max="13576" width="8.81640625" style="12" customWidth="1"/>
    <col min="13577" max="13577" width="15" style="12" customWidth="1"/>
    <col min="13578" max="13578" width="8.81640625" style="12" customWidth="1"/>
    <col min="13579" max="13579" width="10.1796875" style="12" bestFit="1" customWidth="1"/>
    <col min="13580" max="13824" width="8.81640625" style="12" customWidth="1"/>
    <col min="13825" max="13825" width="11.26953125" style="12" customWidth="1"/>
    <col min="13826" max="13826" width="18" style="12" customWidth="1"/>
    <col min="13827" max="13827" width="45.26953125" style="12" customWidth="1"/>
    <col min="13828" max="13830" width="8.81640625" style="12" customWidth="1"/>
    <col min="13831" max="13831" width="13.26953125" style="12" customWidth="1"/>
    <col min="13832" max="13832" width="8.81640625" style="12" customWidth="1"/>
    <col min="13833" max="13833" width="15" style="12" customWidth="1"/>
    <col min="13834" max="13834" width="8.81640625" style="12" customWidth="1"/>
    <col min="13835" max="13835" width="10.1796875" style="12" bestFit="1" customWidth="1"/>
    <col min="13836" max="14080" width="8.81640625" style="12" customWidth="1"/>
    <col min="14081" max="14081" width="11.26953125" style="12" customWidth="1"/>
    <col min="14082" max="14082" width="18" style="12" customWidth="1"/>
    <col min="14083" max="14083" width="45.26953125" style="12" customWidth="1"/>
    <col min="14084" max="14086" width="8.81640625" style="12" customWidth="1"/>
    <col min="14087" max="14087" width="13.26953125" style="12" customWidth="1"/>
    <col min="14088" max="14088" width="8.81640625" style="12" customWidth="1"/>
    <col min="14089" max="14089" width="15" style="12" customWidth="1"/>
    <col min="14090" max="14090" width="8.81640625" style="12" customWidth="1"/>
    <col min="14091" max="14091" width="10.1796875" style="12" bestFit="1" customWidth="1"/>
    <col min="14092" max="14336" width="8.81640625" style="12" customWidth="1"/>
    <col min="14337" max="14337" width="11.26953125" style="12" customWidth="1"/>
    <col min="14338" max="14338" width="18" style="12" customWidth="1"/>
    <col min="14339" max="14339" width="45.26953125" style="12" customWidth="1"/>
    <col min="14340" max="14342" width="8.81640625" style="12" customWidth="1"/>
    <col min="14343" max="14343" width="13.26953125" style="12" customWidth="1"/>
    <col min="14344" max="14344" width="8.81640625" style="12" customWidth="1"/>
    <col min="14345" max="14345" width="15" style="12" customWidth="1"/>
    <col min="14346" max="14346" width="8.81640625" style="12" customWidth="1"/>
    <col min="14347" max="14347" width="10.1796875" style="12" bestFit="1" customWidth="1"/>
    <col min="14348" max="14592" width="8.81640625" style="12" customWidth="1"/>
    <col min="14593" max="14593" width="11.26953125" style="12" customWidth="1"/>
    <col min="14594" max="14594" width="18" style="12" customWidth="1"/>
    <col min="14595" max="14595" width="45.26953125" style="12" customWidth="1"/>
    <col min="14596" max="14598" width="8.81640625" style="12" customWidth="1"/>
    <col min="14599" max="14599" width="13.26953125" style="12" customWidth="1"/>
    <col min="14600" max="14600" width="8.81640625" style="12" customWidth="1"/>
    <col min="14601" max="14601" width="15" style="12" customWidth="1"/>
    <col min="14602" max="14602" width="8.81640625" style="12" customWidth="1"/>
    <col min="14603" max="14603" width="10.1796875" style="12" bestFit="1" customWidth="1"/>
    <col min="14604" max="14848" width="8.81640625" style="12" customWidth="1"/>
    <col min="14849" max="14849" width="11.26953125" style="12" customWidth="1"/>
    <col min="14850" max="14850" width="18" style="12" customWidth="1"/>
    <col min="14851" max="14851" width="45.26953125" style="12" customWidth="1"/>
    <col min="14852" max="14854" width="8.81640625" style="12" customWidth="1"/>
    <col min="14855" max="14855" width="13.26953125" style="12" customWidth="1"/>
    <col min="14856" max="14856" width="8.81640625" style="12" customWidth="1"/>
    <col min="14857" max="14857" width="15" style="12" customWidth="1"/>
    <col min="14858" max="14858" width="8.81640625" style="12" customWidth="1"/>
    <col min="14859" max="14859" width="10.1796875" style="12" bestFit="1" customWidth="1"/>
    <col min="14860" max="15104" width="8.81640625" style="12" customWidth="1"/>
    <col min="15105" max="15105" width="11.26953125" style="12" customWidth="1"/>
    <col min="15106" max="15106" width="18" style="12" customWidth="1"/>
    <col min="15107" max="15107" width="45.26953125" style="12" customWidth="1"/>
    <col min="15108" max="15110" width="8.81640625" style="12" customWidth="1"/>
    <col min="15111" max="15111" width="13.26953125" style="12" customWidth="1"/>
    <col min="15112" max="15112" width="8.81640625" style="12" customWidth="1"/>
    <col min="15113" max="15113" width="15" style="12" customWidth="1"/>
    <col min="15114" max="15114" width="8.81640625" style="12" customWidth="1"/>
    <col min="15115" max="15115" width="10.1796875" style="12" bestFit="1" customWidth="1"/>
    <col min="15116" max="15360" width="8.81640625" style="12" customWidth="1"/>
    <col min="15361" max="15361" width="11.26953125" style="12" customWidth="1"/>
    <col min="15362" max="15362" width="18" style="12" customWidth="1"/>
    <col min="15363" max="15363" width="45.26953125" style="12" customWidth="1"/>
    <col min="15364" max="15366" width="8.81640625" style="12" customWidth="1"/>
    <col min="15367" max="15367" width="13.26953125" style="12" customWidth="1"/>
    <col min="15368" max="15368" width="8.81640625" style="12" customWidth="1"/>
    <col min="15369" max="15369" width="15" style="12" customWidth="1"/>
    <col min="15370" max="15370" width="8.81640625" style="12" customWidth="1"/>
    <col min="15371" max="15371" width="10.1796875" style="12" bestFit="1" customWidth="1"/>
    <col min="15372" max="15616" width="8.81640625" style="12" customWidth="1"/>
    <col min="15617" max="15617" width="11.26953125" style="12" customWidth="1"/>
    <col min="15618" max="15618" width="18" style="12" customWidth="1"/>
    <col min="15619" max="15619" width="45.26953125" style="12" customWidth="1"/>
    <col min="15620" max="15622" width="8.81640625" style="12" customWidth="1"/>
    <col min="15623" max="15623" width="13.26953125" style="12" customWidth="1"/>
    <col min="15624" max="15624" width="8.81640625" style="12" customWidth="1"/>
    <col min="15625" max="15625" width="15" style="12" customWidth="1"/>
    <col min="15626" max="15626" width="8.81640625" style="12" customWidth="1"/>
    <col min="15627" max="15627" width="10.1796875" style="12" bestFit="1" customWidth="1"/>
    <col min="15628" max="15872" width="8.81640625" style="12" customWidth="1"/>
    <col min="15873" max="15873" width="11.26953125" style="12" customWidth="1"/>
    <col min="15874" max="15874" width="18" style="12" customWidth="1"/>
    <col min="15875" max="15875" width="45.26953125" style="12" customWidth="1"/>
    <col min="15876" max="15878" width="8.81640625" style="12" customWidth="1"/>
    <col min="15879" max="15879" width="13.26953125" style="12" customWidth="1"/>
    <col min="15880" max="15880" width="8.81640625" style="12" customWidth="1"/>
    <col min="15881" max="15881" width="15" style="12" customWidth="1"/>
    <col min="15882" max="15882" width="8.81640625" style="12" customWidth="1"/>
    <col min="15883" max="15883" width="10.1796875" style="12" bestFit="1" customWidth="1"/>
    <col min="15884" max="16128" width="8.81640625" style="12" customWidth="1"/>
    <col min="16129" max="16129" width="11.26953125" style="12" customWidth="1"/>
    <col min="16130" max="16130" width="18" style="12" customWidth="1"/>
    <col min="16131" max="16131" width="45.26953125" style="12" customWidth="1"/>
    <col min="16132" max="16134" width="8.81640625" style="12" customWidth="1"/>
    <col min="16135" max="16135" width="13.26953125" style="12" customWidth="1"/>
    <col min="16136" max="16136" width="8.81640625" style="12" customWidth="1"/>
    <col min="16137" max="16137" width="15" style="12" customWidth="1"/>
    <col min="16138" max="16138" width="8.81640625" style="12" customWidth="1"/>
    <col min="16139" max="16139" width="10.1796875" style="12" bestFit="1" customWidth="1"/>
    <col min="16140" max="16384" width="8.81640625" style="12" customWidth="1"/>
  </cols>
  <sheetData>
    <row r="1" spans="1:3" ht="13.5" customHeight="1" thickBot="1" x14ac:dyDescent="0.3">
      <c r="A1" s="9" t="s">
        <v>25</v>
      </c>
      <c r="B1" s="10" t="s">
        <v>112</v>
      </c>
      <c r="C1" s="11" t="s">
        <v>113</v>
      </c>
    </row>
    <row r="2" spans="1:3" ht="15" customHeight="1" x14ac:dyDescent="0.35">
      <c r="A2" s="13">
        <v>36892</v>
      </c>
      <c r="B2" s="14" t="s">
        <v>114</v>
      </c>
      <c r="C2" s="14" t="s">
        <v>115</v>
      </c>
    </row>
    <row r="3" spans="1:3" ht="15" customHeight="1" x14ac:dyDescent="0.35">
      <c r="A3" s="13">
        <v>36948</v>
      </c>
      <c r="B3" s="14" t="s">
        <v>114</v>
      </c>
      <c r="C3" s="14" t="s">
        <v>116</v>
      </c>
    </row>
    <row r="4" spans="1:3" ht="15" customHeight="1" x14ac:dyDescent="0.35">
      <c r="A4" s="13">
        <v>36949</v>
      </c>
      <c r="B4" s="14" t="s">
        <v>117</v>
      </c>
      <c r="C4" s="14" t="s">
        <v>116</v>
      </c>
    </row>
    <row r="5" spans="1:3" ht="15" customHeight="1" x14ac:dyDescent="0.35">
      <c r="A5" s="13">
        <v>36994</v>
      </c>
      <c r="B5" s="14" t="s">
        <v>118</v>
      </c>
      <c r="C5" s="14" t="s">
        <v>119</v>
      </c>
    </row>
    <row r="6" spans="1:3" ht="15" customHeight="1" x14ac:dyDescent="0.35">
      <c r="A6" s="13">
        <v>37002</v>
      </c>
      <c r="B6" s="14" t="s">
        <v>120</v>
      </c>
      <c r="C6" s="14" t="s">
        <v>121</v>
      </c>
    </row>
    <row r="7" spans="1:3" ht="15" customHeight="1" x14ac:dyDescent="0.35">
      <c r="A7" s="13">
        <v>37012</v>
      </c>
      <c r="B7" s="14" t="s">
        <v>117</v>
      </c>
      <c r="C7" s="14" t="s">
        <v>122</v>
      </c>
    </row>
    <row r="8" spans="1:3" ht="15" customHeight="1" x14ac:dyDescent="0.35">
      <c r="A8" s="13">
        <v>37056</v>
      </c>
      <c r="B8" s="14" t="s">
        <v>123</v>
      </c>
      <c r="C8" s="14" t="s">
        <v>124</v>
      </c>
    </row>
    <row r="9" spans="1:3" ht="15" customHeight="1" x14ac:dyDescent="0.35">
      <c r="A9" s="13">
        <v>37141</v>
      </c>
      <c r="B9" s="14" t="s">
        <v>118</v>
      </c>
      <c r="C9" s="14" t="s">
        <v>125</v>
      </c>
    </row>
    <row r="10" spans="1:3" ht="15" customHeight="1" x14ac:dyDescent="0.35">
      <c r="A10" s="13">
        <v>37176</v>
      </c>
      <c r="B10" s="14" t="s">
        <v>118</v>
      </c>
      <c r="C10" s="14" t="s">
        <v>126</v>
      </c>
    </row>
    <row r="11" spans="1:3" ht="15" customHeight="1" x14ac:dyDescent="0.35">
      <c r="A11" s="13">
        <v>37197</v>
      </c>
      <c r="B11" s="14" t="s">
        <v>118</v>
      </c>
      <c r="C11" s="14" t="s">
        <v>127</v>
      </c>
    </row>
    <row r="12" spans="1:3" ht="15" customHeight="1" x14ac:dyDescent="0.35">
      <c r="A12" s="13">
        <v>37210</v>
      </c>
      <c r="B12" s="14" t="s">
        <v>123</v>
      </c>
      <c r="C12" s="14" t="s">
        <v>128</v>
      </c>
    </row>
    <row r="13" spans="1:3" ht="15" customHeight="1" x14ac:dyDescent="0.35">
      <c r="A13" s="13">
        <v>37250</v>
      </c>
      <c r="B13" s="14" t="s">
        <v>117</v>
      </c>
      <c r="C13" s="14" t="s">
        <v>129</v>
      </c>
    </row>
    <row r="14" spans="1:3" ht="15" customHeight="1" x14ac:dyDescent="0.35">
      <c r="A14" s="15">
        <v>37257</v>
      </c>
      <c r="B14" s="16" t="s">
        <v>117</v>
      </c>
      <c r="C14" s="16" t="s">
        <v>115</v>
      </c>
    </row>
    <row r="15" spans="1:3" ht="15" customHeight="1" x14ac:dyDescent="0.35">
      <c r="A15" s="15">
        <v>37298</v>
      </c>
      <c r="B15" s="16" t="s">
        <v>114</v>
      </c>
      <c r="C15" s="16" t="s">
        <v>116</v>
      </c>
    </row>
    <row r="16" spans="1:3" ht="15" customHeight="1" x14ac:dyDescent="0.35">
      <c r="A16" s="15">
        <v>37299</v>
      </c>
      <c r="B16" s="16" t="s">
        <v>117</v>
      </c>
      <c r="C16" s="16" t="s">
        <v>116</v>
      </c>
    </row>
    <row r="17" spans="1:3" ht="15" customHeight="1" x14ac:dyDescent="0.35">
      <c r="A17" s="15">
        <v>37344</v>
      </c>
      <c r="B17" s="16" t="s">
        <v>118</v>
      </c>
      <c r="C17" s="16" t="s">
        <v>119</v>
      </c>
    </row>
    <row r="18" spans="1:3" ht="15" customHeight="1" x14ac:dyDescent="0.35">
      <c r="A18" s="15">
        <v>37367</v>
      </c>
      <c r="B18" s="16" t="s">
        <v>130</v>
      </c>
      <c r="C18" s="16" t="s">
        <v>121</v>
      </c>
    </row>
    <row r="19" spans="1:3" ht="15" customHeight="1" x14ac:dyDescent="0.35">
      <c r="A19" s="15">
        <v>37377</v>
      </c>
      <c r="B19" s="16" t="s">
        <v>131</v>
      </c>
      <c r="C19" s="16" t="s">
        <v>122</v>
      </c>
    </row>
    <row r="20" spans="1:3" ht="15" customHeight="1" x14ac:dyDescent="0.35">
      <c r="A20" s="15">
        <v>37406</v>
      </c>
      <c r="B20" s="16" t="s">
        <v>123</v>
      </c>
      <c r="C20" s="16" t="s">
        <v>124</v>
      </c>
    </row>
    <row r="21" spans="1:3" ht="15" customHeight="1" x14ac:dyDescent="0.35">
      <c r="A21" s="15">
        <v>37506</v>
      </c>
      <c r="B21" s="16" t="s">
        <v>120</v>
      </c>
      <c r="C21" s="16" t="s">
        <v>125</v>
      </c>
    </row>
    <row r="22" spans="1:3" ht="15" customHeight="1" x14ac:dyDescent="0.35">
      <c r="A22" s="15">
        <v>37541</v>
      </c>
      <c r="B22" s="16" t="s">
        <v>120</v>
      </c>
      <c r="C22" s="16" t="s">
        <v>126</v>
      </c>
    </row>
    <row r="23" spans="1:3" ht="15" customHeight="1" x14ac:dyDescent="0.35">
      <c r="A23" s="15">
        <v>37562</v>
      </c>
      <c r="B23" s="16" t="s">
        <v>120</v>
      </c>
      <c r="C23" s="16" t="s">
        <v>127</v>
      </c>
    </row>
    <row r="24" spans="1:3" ht="15" customHeight="1" x14ac:dyDescent="0.35">
      <c r="A24" s="15">
        <v>37575</v>
      </c>
      <c r="B24" s="16" t="s">
        <v>118</v>
      </c>
      <c r="C24" s="16" t="s">
        <v>128</v>
      </c>
    </row>
    <row r="25" spans="1:3" ht="15" customHeight="1" x14ac:dyDescent="0.35">
      <c r="A25" s="15">
        <v>37615</v>
      </c>
      <c r="B25" s="16" t="s">
        <v>131</v>
      </c>
      <c r="C25" s="16" t="s">
        <v>129</v>
      </c>
    </row>
    <row r="26" spans="1:3" ht="15" customHeight="1" x14ac:dyDescent="0.35">
      <c r="A26" s="13">
        <v>37622</v>
      </c>
      <c r="B26" s="14" t="s">
        <v>131</v>
      </c>
      <c r="C26" s="14" t="s">
        <v>115</v>
      </c>
    </row>
    <row r="27" spans="1:3" ht="15" customHeight="1" x14ac:dyDescent="0.35">
      <c r="A27" s="13">
        <v>37683</v>
      </c>
      <c r="B27" s="14" t="s">
        <v>114</v>
      </c>
      <c r="C27" s="14" t="s">
        <v>116</v>
      </c>
    </row>
    <row r="28" spans="1:3" ht="15" customHeight="1" x14ac:dyDescent="0.35">
      <c r="A28" s="13">
        <v>37684</v>
      </c>
      <c r="B28" s="14" t="s">
        <v>117</v>
      </c>
      <c r="C28" s="14" t="s">
        <v>116</v>
      </c>
    </row>
    <row r="29" spans="1:3" ht="15" customHeight="1" x14ac:dyDescent="0.35">
      <c r="A29" s="13">
        <v>37729</v>
      </c>
      <c r="B29" s="14" t="s">
        <v>118</v>
      </c>
      <c r="C29" s="14" t="s">
        <v>119</v>
      </c>
    </row>
    <row r="30" spans="1:3" ht="15" customHeight="1" x14ac:dyDescent="0.35">
      <c r="A30" s="13">
        <v>37732</v>
      </c>
      <c r="B30" s="14" t="s">
        <v>114</v>
      </c>
      <c r="C30" s="14" t="s">
        <v>121</v>
      </c>
    </row>
    <row r="31" spans="1:3" ht="15" customHeight="1" x14ac:dyDescent="0.35">
      <c r="A31" s="13">
        <v>37742</v>
      </c>
      <c r="B31" s="14" t="s">
        <v>123</v>
      </c>
      <c r="C31" s="14" t="s">
        <v>122</v>
      </c>
    </row>
    <row r="32" spans="1:3" ht="15" customHeight="1" x14ac:dyDescent="0.35">
      <c r="A32" s="13">
        <v>37791</v>
      </c>
      <c r="B32" s="14" t="s">
        <v>123</v>
      </c>
      <c r="C32" s="14" t="s">
        <v>124</v>
      </c>
    </row>
    <row r="33" spans="1:3" ht="15" customHeight="1" x14ac:dyDescent="0.35">
      <c r="A33" s="13">
        <v>37871</v>
      </c>
      <c r="B33" s="14" t="s">
        <v>130</v>
      </c>
      <c r="C33" s="14" t="s">
        <v>125</v>
      </c>
    </row>
    <row r="34" spans="1:3" ht="15" customHeight="1" x14ac:dyDescent="0.35">
      <c r="A34" s="13">
        <v>37906</v>
      </c>
      <c r="B34" s="14" t="s">
        <v>130</v>
      </c>
      <c r="C34" s="14" t="s">
        <v>126</v>
      </c>
    </row>
    <row r="35" spans="1:3" ht="15" customHeight="1" x14ac:dyDescent="0.35">
      <c r="A35" s="13">
        <v>37927</v>
      </c>
      <c r="B35" s="14" t="s">
        <v>130</v>
      </c>
      <c r="C35" s="14" t="s">
        <v>127</v>
      </c>
    </row>
    <row r="36" spans="1:3" ht="15" customHeight="1" x14ac:dyDescent="0.35">
      <c r="A36" s="13">
        <v>37940</v>
      </c>
      <c r="B36" s="14" t="s">
        <v>120</v>
      </c>
      <c r="C36" s="14" t="s">
        <v>128</v>
      </c>
    </row>
    <row r="37" spans="1:3" ht="15" customHeight="1" x14ac:dyDescent="0.35">
      <c r="A37" s="13">
        <v>37980</v>
      </c>
      <c r="B37" s="14" t="s">
        <v>123</v>
      </c>
      <c r="C37" s="14" t="s">
        <v>129</v>
      </c>
    </row>
    <row r="38" spans="1:3" ht="15" customHeight="1" x14ac:dyDescent="0.35">
      <c r="A38" s="15">
        <v>37987</v>
      </c>
      <c r="B38" s="16" t="s">
        <v>123</v>
      </c>
      <c r="C38" s="16" t="s">
        <v>115</v>
      </c>
    </row>
    <row r="39" spans="1:3" ht="15" customHeight="1" x14ac:dyDescent="0.35">
      <c r="A39" s="15">
        <v>38040</v>
      </c>
      <c r="B39" s="16" t="s">
        <v>114</v>
      </c>
      <c r="C39" s="16" t="s">
        <v>116</v>
      </c>
    </row>
    <row r="40" spans="1:3" ht="15" customHeight="1" x14ac:dyDescent="0.35">
      <c r="A40" s="15">
        <v>38041</v>
      </c>
      <c r="B40" s="16" t="s">
        <v>117</v>
      </c>
      <c r="C40" s="16" t="s">
        <v>116</v>
      </c>
    </row>
    <row r="41" spans="1:3" ht="15" customHeight="1" x14ac:dyDescent="0.35">
      <c r="A41" s="15">
        <v>38086</v>
      </c>
      <c r="B41" s="16" t="s">
        <v>118</v>
      </c>
      <c r="C41" s="16" t="s">
        <v>119</v>
      </c>
    </row>
    <row r="42" spans="1:3" ht="15" customHeight="1" x14ac:dyDescent="0.35">
      <c r="A42" s="15">
        <v>38098</v>
      </c>
      <c r="B42" s="16" t="s">
        <v>131</v>
      </c>
      <c r="C42" s="16" t="s">
        <v>121</v>
      </c>
    </row>
    <row r="43" spans="1:3" ht="15" customHeight="1" x14ac:dyDescent="0.35">
      <c r="A43" s="15">
        <v>38108</v>
      </c>
      <c r="B43" s="16" t="s">
        <v>120</v>
      </c>
      <c r="C43" s="16" t="s">
        <v>122</v>
      </c>
    </row>
    <row r="44" spans="1:3" ht="15" customHeight="1" x14ac:dyDescent="0.35">
      <c r="A44" s="15">
        <v>38148</v>
      </c>
      <c r="B44" s="16" t="s">
        <v>123</v>
      </c>
      <c r="C44" s="16" t="s">
        <v>124</v>
      </c>
    </row>
    <row r="45" spans="1:3" ht="15" customHeight="1" x14ac:dyDescent="0.35">
      <c r="A45" s="15">
        <v>38237</v>
      </c>
      <c r="B45" s="16" t="s">
        <v>117</v>
      </c>
      <c r="C45" s="16" t="s">
        <v>125</v>
      </c>
    </row>
    <row r="46" spans="1:3" ht="15" customHeight="1" x14ac:dyDescent="0.35">
      <c r="A46" s="15">
        <v>38272</v>
      </c>
      <c r="B46" s="16" t="s">
        <v>117</v>
      </c>
      <c r="C46" s="16" t="s">
        <v>126</v>
      </c>
    </row>
    <row r="47" spans="1:3" ht="15" customHeight="1" x14ac:dyDescent="0.35">
      <c r="A47" s="15">
        <v>38293</v>
      </c>
      <c r="B47" s="16" t="s">
        <v>117</v>
      </c>
      <c r="C47" s="16" t="s">
        <v>127</v>
      </c>
    </row>
    <row r="48" spans="1:3" ht="15" customHeight="1" x14ac:dyDescent="0.35">
      <c r="A48" s="15">
        <v>38306</v>
      </c>
      <c r="B48" s="16" t="s">
        <v>114</v>
      </c>
      <c r="C48" s="16" t="s">
        <v>128</v>
      </c>
    </row>
    <row r="49" spans="1:3" ht="15" customHeight="1" x14ac:dyDescent="0.35">
      <c r="A49" s="15">
        <v>38346</v>
      </c>
      <c r="B49" s="16" t="s">
        <v>120</v>
      </c>
      <c r="C49" s="16" t="s">
        <v>129</v>
      </c>
    </row>
    <row r="50" spans="1:3" ht="15" customHeight="1" x14ac:dyDescent="0.35">
      <c r="A50" s="13">
        <v>38353</v>
      </c>
      <c r="B50" s="14" t="s">
        <v>120</v>
      </c>
      <c r="C50" s="14" t="s">
        <v>115</v>
      </c>
    </row>
    <row r="51" spans="1:3" ht="15" customHeight="1" x14ac:dyDescent="0.35">
      <c r="A51" s="13">
        <v>38390</v>
      </c>
      <c r="B51" s="14" t="s">
        <v>114</v>
      </c>
      <c r="C51" s="14" t="s">
        <v>116</v>
      </c>
    </row>
    <row r="52" spans="1:3" ht="15" customHeight="1" x14ac:dyDescent="0.35">
      <c r="A52" s="13">
        <v>38391</v>
      </c>
      <c r="B52" s="14" t="s">
        <v>117</v>
      </c>
      <c r="C52" s="14" t="s">
        <v>116</v>
      </c>
    </row>
    <row r="53" spans="1:3" ht="15" customHeight="1" x14ac:dyDescent="0.35">
      <c r="A53" s="13">
        <v>38436</v>
      </c>
      <c r="B53" s="14" t="s">
        <v>118</v>
      </c>
      <c r="C53" s="14" t="s">
        <v>119</v>
      </c>
    </row>
    <row r="54" spans="1:3" ht="15" customHeight="1" x14ac:dyDescent="0.35">
      <c r="A54" s="13">
        <v>38463</v>
      </c>
      <c r="B54" s="14" t="s">
        <v>123</v>
      </c>
      <c r="C54" s="14" t="s">
        <v>121</v>
      </c>
    </row>
    <row r="55" spans="1:3" ht="15" customHeight="1" x14ac:dyDescent="0.35">
      <c r="A55" s="13">
        <v>38473</v>
      </c>
      <c r="B55" s="14" t="s">
        <v>130</v>
      </c>
      <c r="C55" s="14" t="s">
        <v>122</v>
      </c>
    </row>
    <row r="56" spans="1:3" ht="15" customHeight="1" x14ac:dyDescent="0.35">
      <c r="A56" s="13">
        <v>38498</v>
      </c>
      <c r="B56" s="14" t="s">
        <v>123</v>
      </c>
      <c r="C56" s="14" t="s">
        <v>124</v>
      </c>
    </row>
    <row r="57" spans="1:3" ht="15" customHeight="1" x14ac:dyDescent="0.35">
      <c r="A57" s="13">
        <v>38602</v>
      </c>
      <c r="B57" s="14" t="s">
        <v>131</v>
      </c>
      <c r="C57" s="14" t="s">
        <v>125</v>
      </c>
    </row>
    <row r="58" spans="1:3" ht="15" customHeight="1" x14ac:dyDescent="0.35">
      <c r="A58" s="13">
        <v>38637</v>
      </c>
      <c r="B58" s="14" t="s">
        <v>131</v>
      </c>
      <c r="C58" s="14" t="s">
        <v>126</v>
      </c>
    </row>
    <row r="59" spans="1:3" ht="15" customHeight="1" x14ac:dyDescent="0.35">
      <c r="A59" s="13">
        <v>38658</v>
      </c>
      <c r="B59" s="14" t="s">
        <v>131</v>
      </c>
      <c r="C59" s="14" t="s">
        <v>127</v>
      </c>
    </row>
    <row r="60" spans="1:3" ht="15" customHeight="1" x14ac:dyDescent="0.35">
      <c r="A60" s="13">
        <v>38671</v>
      </c>
      <c r="B60" s="14" t="s">
        <v>117</v>
      </c>
      <c r="C60" s="14" t="s">
        <v>128</v>
      </c>
    </row>
    <row r="61" spans="1:3" ht="15" customHeight="1" x14ac:dyDescent="0.35">
      <c r="A61" s="13">
        <v>38711</v>
      </c>
      <c r="B61" s="14" t="s">
        <v>130</v>
      </c>
      <c r="C61" s="14" t="s">
        <v>129</v>
      </c>
    </row>
    <row r="62" spans="1:3" ht="15" customHeight="1" x14ac:dyDescent="0.35">
      <c r="A62" s="15">
        <v>38718</v>
      </c>
      <c r="B62" s="16" t="s">
        <v>130</v>
      </c>
      <c r="C62" s="16" t="s">
        <v>115</v>
      </c>
    </row>
    <row r="63" spans="1:3" ht="15" customHeight="1" x14ac:dyDescent="0.35">
      <c r="A63" s="15">
        <v>38775</v>
      </c>
      <c r="B63" s="16" t="s">
        <v>114</v>
      </c>
      <c r="C63" s="16" t="s">
        <v>116</v>
      </c>
    </row>
    <row r="64" spans="1:3" ht="15" customHeight="1" x14ac:dyDescent="0.35">
      <c r="A64" s="15">
        <v>38776</v>
      </c>
      <c r="B64" s="16" t="s">
        <v>117</v>
      </c>
      <c r="C64" s="16" t="s">
        <v>116</v>
      </c>
    </row>
    <row r="65" spans="1:3" ht="15" customHeight="1" x14ac:dyDescent="0.35">
      <c r="A65" s="15">
        <v>38821</v>
      </c>
      <c r="B65" s="16" t="s">
        <v>118</v>
      </c>
      <c r="C65" s="16" t="s">
        <v>119</v>
      </c>
    </row>
    <row r="66" spans="1:3" ht="15" customHeight="1" x14ac:dyDescent="0.35">
      <c r="A66" s="15">
        <v>38828</v>
      </c>
      <c r="B66" s="16" t="s">
        <v>118</v>
      </c>
      <c r="C66" s="16" t="s">
        <v>121</v>
      </c>
    </row>
    <row r="67" spans="1:3" ht="15" customHeight="1" x14ac:dyDescent="0.35">
      <c r="A67" s="15">
        <v>38838</v>
      </c>
      <c r="B67" s="16" t="s">
        <v>114</v>
      </c>
      <c r="C67" s="16" t="s">
        <v>122</v>
      </c>
    </row>
    <row r="68" spans="1:3" ht="15" customHeight="1" x14ac:dyDescent="0.35">
      <c r="A68" s="15">
        <v>38883</v>
      </c>
      <c r="B68" s="16" t="s">
        <v>123</v>
      </c>
      <c r="C68" s="16" t="s">
        <v>124</v>
      </c>
    </row>
    <row r="69" spans="1:3" ht="15" customHeight="1" x14ac:dyDescent="0.35">
      <c r="A69" s="15">
        <v>38967</v>
      </c>
      <c r="B69" s="16" t="s">
        <v>123</v>
      </c>
      <c r="C69" s="16" t="s">
        <v>125</v>
      </c>
    </row>
    <row r="70" spans="1:3" ht="15" customHeight="1" x14ac:dyDescent="0.35">
      <c r="A70" s="15">
        <v>39002</v>
      </c>
      <c r="B70" s="16" t="s">
        <v>123</v>
      </c>
      <c r="C70" s="16" t="s">
        <v>126</v>
      </c>
    </row>
    <row r="71" spans="1:3" ht="15" customHeight="1" x14ac:dyDescent="0.35">
      <c r="A71" s="15">
        <v>39023</v>
      </c>
      <c r="B71" s="16" t="s">
        <v>123</v>
      </c>
      <c r="C71" s="16" t="s">
        <v>127</v>
      </c>
    </row>
    <row r="72" spans="1:3" ht="15" customHeight="1" x14ac:dyDescent="0.35">
      <c r="A72" s="15">
        <v>39036</v>
      </c>
      <c r="B72" s="16" t="s">
        <v>131</v>
      </c>
      <c r="C72" s="16" t="s">
        <v>128</v>
      </c>
    </row>
    <row r="73" spans="1:3" ht="15" customHeight="1" x14ac:dyDescent="0.35">
      <c r="A73" s="15">
        <v>39076</v>
      </c>
      <c r="B73" s="16" t="s">
        <v>114</v>
      </c>
      <c r="C73" s="16" t="s">
        <v>129</v>
      </c>
    </row>
    <row r="74" spans="1:3" ht="15" customHeight="1" x14ac:dyDescent="0.35">
      <c r="A74" s="13">
        <v>39083</v>
      </c>
      <c r="B74" s="14" t="s">
        <v>114</v>
      </c>
      <c r="C74" s="14" t="s">
        <v>115</v>
      </c>
    </row>
    <row r="75" spans="1:3" ht="15" customHeight="1" x14ac:dyDescent="0.35">
      <c r="A75" s="13">
        <v>39132</v>
      </c>
      <c r="B75" s="14" t="s">
        <v>114</v>
      </c>
      <c r="C75" s="14" t="s">
        <v>116</v>
      </c>
    </row>
    <row r="76" spans="1:3" ht="15" customHeight="1" x14ac:dyDescent="0.35">
      <c r="A76" s="13">
        <v>39133</v>
      </c>
      <c r="B76" s="14" t="s">
        <v>117</v>
      </c>
      <c r="C76" s="14" t="s">
        <v>116</v>
      </c>
    </row>
    <row r="77" spans="1:3" ht="15" customHeight="1" x14ac:dyDescent="0.35">
      <c r="A77" s="13">
        <v>39178</v>
      </c>
      <c r="B77" s="14" t="s">
        <v>118</v>
      </c>
      <c r="C77" s="14" t="s">
        <v>119</v>
      </c>
    </row>
    <row r="78" spans="1:3" ht="15" customHeight="1" x14ac:dyDescent="0.35">
      <c r="A78" s="13">
        <v>39193</v>
      </c>
      <c r="B78" s="14" t="s">
        <v>120</v>
      </c>
      <c r="C78" s="14" t="s">
        <v>121</v>
      </c>
    </row>
    <row r="79" spans="1:3" ht="15" customHeight="1" x14ac:dyDescent="0.35">
      <c r="A79" s="13">
        <v>39203</v>
      </c>
      <c r="B79" s="14" t="s">
        <v>117</v>
      </c>
      <c r="C79" s="14" t="s">
        <v>122</v>
      </c>
    </row>
    <row r="80" spans="1:3" ht="15" customHeight="1" x14ac:dyDescent="0.35">
      <c r="A80" s="13">
        <v>39240</v>
      </c>
      <c r="B80" s="14" t="s">
        <v>123</v>
      </c>
      <c r="C80" s="14" t="s">
        <v>124</v>
      </c>
    </row>
    <row r="81" spans="1:3" ht="15" customHeight="1" x14ac:dyDescent="0.35">
      <c r="A81" s="13">
        <v>39332</v>
      </c>
      <c r="B81" s="14" t="s">
        <v>118</v>
      </c>
      <c r="C81" s="14" t="s">
        <v>125</v>
      </c>
    </row>
    <row r="82" spans="1:3" ht="15" customHeight="1" x14ac:dyDescent="0.35">
      <c r="A82" s="13">
        <v>39367</v>
      </c>
      <c r="B82" s="14" t="s">
        <v>118</v>
      </c>
      <c r="C82" s="14" t="s">
        <v>126</v>
      </c>
    </row>
    <row r="83" spans="1:3" ht="15" customHeight="1" x14ac:dyDescent="0.35">
      <c r="A83" s="13">
        <v>39388</v>
      </c>
      <c r="B83" s="14" t="s">
        <v>118</v>
      </c>
      <c r="C83" s="14" t="s">
        <v>127</v>
      </c>
    </row>
    <row r="84" spans="1:3" ht="15" customHeight="1" x14ac:dyDescent="0.35">
      <c r="A84" s="13">
        <v>39401</v>
      </c>
      <c r="B84" s="14" t="s">
        <v>123</v>
      </c>
      <c r="C84" s="14" t="s">
        <v>128</v>
      </c>
    </row>
    <row r="85" spans="1:3" ht="15" customHeight="1" x14ac:dyDescent="0.35">
      <c r="A85" s="13">
        <v>39441</v>
      </c>
      <c r="B85" s="14" t="s">
        <v>117</v>
      </c>
      <c r="C85" s="14" t="s">
        <v>129</v>
      </c>
    </row>
    <row r="86" spans="1:3" ht="15" customHeight="1" x14ac:dyDescent="0.35">
      <c r="A86" s="15">
        <v>39448</v>
      </c>
      <c r="B86" s="16" t="s">
        <v>117</v>
      </c>
      <c r="C86" s="16" t="s">
        <v>115</v>
      </c>
    </row>
    <row r="87" spans="1:3" ht="15" customHeight="1" x14ac:dyDescent="0.35">
      <c r="A87" s="15">
        <v>39482</v>
      </c>
      <c r="B87" s="16" t="s">
        <v>114</v>
      </c>
      <c r="C87" s="16" t="s">
        <v>116</v>
      </c>
    </row>
    <row r="88" spans="1:3" ht="15" customHeight="1" x14ac:dyDescent="0.35">
      <c r="A88" s="15">
        <v>39483</v>
      </c>
      <c r="B88" s="16" t="s">
        <v>117</v>
      </c>
      <c r="C88" s="16" t="s">
        <v>116</v>
      </c>
    </row>
    <row r="89" spans="1:3" ht="15" customHeight="1" x14ac:dyDescent="0.35">
      <c r="A89" s="15">
        <v>39528</v>
      </c>
      <c r="B89" s="16" t="s">
        <v>118</v>
      </c>
      <c r="C89" s="16" t="s">
        <v>119</v>
      </c>
    </row>
    <row r="90" spans="1:3" ht="15" customHeight="1" x14ac:dyDescent="0.35">
      <c r="A90" s="15">
        <v>39559</v>
      </c>
      <c r="B90" s="16" t="s">
        <v>114</v>
      </c>
      <c r="C90" s="16" t="s">
        <v>121</v>
      </c>
    </row>
    <row r="91" spans="1:3" ht="15" customHeight="1" x14ac:dyDescent="0.35">
      <c r="A91" s="15">
        <v>39569</v>
      </c>
      <c r="B91" s="16" t="s">
        <v>123</v>
      </c>
      <c r="C91" s="16" t="s">
        <v>122</v>
      </c>
    </row>
    <row r="92" spans="1:3" ht="15" customHeight="1" x14ac:dyDescent="0.35">
      <c r="A92" s="15">
        <v>39590</v>
      </c>
      <c r="B92" s="16" t="s">
        <v>123</v>
      </c>
      <c r="C92" s="16" t="s">
        <v>124</v>
      </c>
    </row>
    <row r="93" spans="1:3" ht="15" customHeight="1" x14ac:dyDescent="0.35">
      <c r="A93" s="15">
        <v>39698</v>
      </c>
      <c r="B93" s="16" t="s">
        <v>130</v>
      </c>
      <c r="C93" s="16" t="s">
        <v>125</v>
      </c>
    </row>
    <row r="94" spans="1:3" ht="15" customHeight="1" x14ac:dyDescent="0.35">
      <c r="A94" s="15">
        <v>39733</v>
      </c>
      <c r="B94" s="16" t="s">
        <v>130</v>
      </c>
      <c r="C94" s="16" t="s">
        <v>126</v>
      </c>
    </row>
    <row r="95" spans="1:3" ht="15" customHeight="1" x14ac:dyDescent="0.35">
      <c r="A95" s="15">
        <v>39754</v>
      </c>
      <c r="B95" s="16" t="s">
        <v>130</v>
      </c>
      <c r="C95" s="16" t="s">
        <v>127</v>
      </c>
    </row>
    <row r="96" spans="1:3" ht="15" customHeight="1" x14ac:dyDescent="0.35">
      <c r="A96" s="15">
        <v>39767</v>
      </c>
      <c r="B96" s="16" t="s">
        <v>120</v>
      </c>
      <c r="C96" s="16" t="s">
        <v>128</v>
      </c>
    </row>
    <row r="97" spans="1:3" ht="15" customHeight="1" x14ac:dyDescent="0.35">
      <c r="A97" s="15">
        <v>39807</v>
      </c>
      <c r="B97" s="16" t="s">
        <v>123</v>
      </c>
      <c r="C97" s="16" t="s">
        <v>129</v>
      </c>
    </row>
    <row r="98" spans="1:3" ht="15" customHeight="1" x14ac:dyDescent="0.35">
      <c r="A98" s="13">
        <v>39814</v>
      </c>
      <c r="B98" s="14" t="s">
        <v>123</v>
      </c>
      <c r="C98" s="14" t="s">
        <v>115</v>
      </c>
    </row>
    <row r="99" spans="1:3" ht="15" customHeight="1" x14ac:dyDescent="0.35">
      <c r="A99" s="13">
        <v>39867</v>
      </c>
      <c r="B99" s="14" t="s">
        <v>114</v>
      </c>
      <c r="C99" s="14" t="s">
        <v>116</v>
      </c>
    </row>
    <row r="100" spans="1:3" ht="15" customHeight="1" x14ac:dyDescent="0.35">
      <c r="A100" s="13">
        <v>39868</v>
      </c>
      <c r="B100" s="14" t="s">
        <v>117</v>
      </c>
      <c r="C100" s="14" t="s">
        <v>116</v>
      </c>
    </row>
    <row r="101" spans="1:3" ht="15" customHeight="1" x14ac:dyDescent="0.35">
      <c r="A101" s="13">
        <v>39913</v>
      </c>
      <c r="B101" s="14" t="s">
        <v>118</v>
      </c>
      <c r="C101" s="14" t="s">
        <v>119</v>
      </c>
    </row>
    <row r="102" spans="1:3" ht="15" customHeight="1" x14ac:dyDescent="0.35">
      <c r="A102" s="13">
        <v>39924</v>
      </c>
      <c r="B102" s="14" t="s">
        <v>117</v>
      </c>
      <c r="C102" s="14" t="s">
        <v>121</v>
      </c>
    </row>
    <row r="103" spans="1:3" ht="15" customHeight="1" x14ac:dyDescent="0.35">
      <c r="A103" s="13">
        <v>39934</v>
      </c>
      <c r="B103" s="14" t="s">
        <v>118</v>
      </c>
      <c r="C103" s="14" t="s">
        <v>122</v>
      </c>
    </row>
    <row r="104" spans="1:3" ht="15" customHeight="1" x14ac:dyDescent="0.35">
      <c r="A104" s="13">
        <v>39975</v>
      </c>
      <c r="B104" s="14" t="s">
        <v>123</v>
      </c>
      <c r="C104" s="14" t="s">
        <v>124</v>
      </c>
    </row>
    <row r="105" spans="1:3" ht="15" customHeight="1" x14ac:dyDescent="0.35">
      <c r="A105" s="13">
        <v>40063</v>
      </c>
      <c r="B105" s="14" t="s">
        <v>114</v>
      </c>
      <c r="C105" s="14" t="s">
        <v>125</v>
      </c>
    </row>
    <row r="106" spans="1:3" ht="15" customHeight="1" x14ac:dyDescent="0.35">
      <c r="A106" s="13">
        <v>40098</v>
      </c>
      <c r="B106" s="14" t="s">
        <v>114</v>
      </c>
      <c r="C106" s="14" t="s">
        <v>126</v>
      </c>
    </row>
    <row r="107" spans="1:3" ht="15" customHeight="1" x14ac:dyDescent="0.35">
      <c r="A107" s="13">
        <v>40119</v>
      </c>
      <c r="B107" s="14" t="s">
        <v>114</v>
      </c>
      <c r="C107" s="14" t="s">
        <v>127</v>
      </c>
    </row>
    <row r="108" spans="1:3" ht="15" customHeight="1" x14ac:dyDescent="0.35">
      <c r="A108" s="13">
        <v>40132</v>
      </c>
      <c r="B108" s="14" t="s">
        <v>130</v>
      </c>
      <c r="C108" s="14" t="s">
        <v>128</v>
      </c>
    </row>
    <row r="109" spans="1:3" ht="15" customHeight="1" x14ac:dyDescent="0.35">
      <c r="A109" s="13">
        <v>40172</v>
      </c>
      <c r="B109" s="14" t="s">
        <v>118</v>
      </c>
      <c r="C109" s="14" t="s">
        <v>129</v>
      </c>
    </row>
    <row r="110" spans="1:3" ht="15" customHeight="1" x14ac:dyDescent="0.35">
      <c r="A110" s="15">
        <v>40179</v>
      </c>
      <c r="B110" s="16" t="s">
        <v>118</v>
      </c>
      <c r="C110" s="16" t="s">
        <v>115</v>
      </c>
    </row>
    <row r="111" spans="1:3" ht="15" customHeight="1" x14ac:dyDescent="0.35">
      <c r="A111" s="15">
        <v>40224</v>
      </c>
      <c r="B111" s="16" t="s">
        <v>114</v>
      </c>
      <c r="C111" s="16" t="s">
        <v>116</v>
      </c>
    </row>
    <row r="112" spans="1:3" ht="15" customHeight="1" x14ac:dyDescent="0.35">
      <c r="A112" s="15">
        <v>40225</v>
      </c>
      <c r="B112" s="16" t="s">
        <v>117</v>
      </c>
      <c r="C112" s="16" t="s">
        <v>116</v>
      </c>
    </row>
    <row r="113" spans="1:3" ht="15" customHeight="1" x14ac:dyDescent="0.35">
      <c r="A113" s="15">
        <v>40270</v>
      </c>
      <c r="B113" s="16" t="s">
        <v>118</v>
      </c>
      <c r="C113" s="16" t="s">
        <v>119</v>
      </c>
    </row>
    <row r="114" spans="1:3" ht="15" customHeight="1" x14ac:dyDescent="0.35">
      <c r="A114" s="15">
        <v>40289</v>
      </c>
      <c r="B114" s="16" t="s">
        <v>131</v>
      </c>
      <c r="C114" s="16" t="s">
        <v>121</v>
      </c>
    </row>
    <row r="115" spans="1:3" ht="15" customHeight="1" x14ac:dyDescent="0.35">
      <c r="A115" s="15">
        <v>40299</v>
      </c>
      <c r="B115" s="16" t="s">
        <v>120</v>
      </c>
      <c r="C115" s="16" t="s">
        <v>122</v>
      </c>
    </row>
    <row r="116" spans="1:3" ht="15" customHeight="1" x14ac:dyDescent="0.35">
      <c r="A116" s="15">
        <v>40332</v>
      </c>
      <c r="B116" s="16" t="s">
        <v>123</v>
      </c>
      <c r="C116" s="16" t="s">
        <v>124</v>
      </c>
    </row>
    <row r="117" spans="1:3" ht="15" customHeight="1" x14ac:dyDescent="0.35">
      <c r="A117" s="15">
        <v>40428</v>
      </c>
      <c r="B117" s="16" t="s">
        <v>117</v>
      </c>
      <c r="C117" s="16" t="s">
        <v>125</v>
      </c>
    </row>
    <row r="118" spans="1:3" ht="15" customHeight="1" x14ac:dyDescent="0.35">
      <c r="A118" s="15">
        <v>40463</v>
      </c>
      <c r="B118" s="16" t="s">
        <v>117</v>
      </c>
      <c r="C118" s="16" t="s">
        <v>126</v>
      </c>
    </row>
    <row r="119" spans="1:3" ht="15" customHeight="1" x14ac:dyDescent="0.35">
      <c r="A119" s="15">
        <v>40484</v>
      </c>
      <c r="B119" s="16" t="s">
        <v>117</v>
      </c>
      <c r="C119" s="16" t="s">
        <v>127</v>
      </c>
    </row>
    <row r="120" spans="1:3" ht="15" customHeight="1" x14ac:dyDescent="0.35">
      <c r="A120" s="15">
        <v>40497</v>
      </c>
      <c r="B120" s="16" t="s">
        <v>114</v>
      </c>
      <c r="C120" s="16" t="s">
        <v>128</v>
      </c>
    </row>
    <row r="121" spans="1:3" ht="15" customHeight="1" x14ac:dyDescent="0.35">
      <c r="A121" s="15">
        <v>40537</v>
      </c>
      <c r="B121" s="16" t="s">
        <v>120</v>
      </c>
      <c r="C121" s="16" t="s">
        <v>129</v>
      </c>
    </row>
    <row r="122" spans="1:3" ht="15" customHeight="1" x14ac:dyDescent="0.35">
      <c r="A122" s="13">
        <v>40544</v>
      </c>
      <c r="B122" s="14" t="s">
        <v>120</v>
      </c>
      <c r="C122" s="14" t="s">
        <v>115</v>
      </c>
    </row>
    <row r="123" spans="1:3" ht="15" customHeight="1" x14ac:dyDescent="0.35">
      <c r="A123" s="13">
        <v>40609</v>
      </c>
      <c r="B123" s="14" t="s">
        <v>114</v>
      </c>
      <c r="C123" s="14" t="s">
        <v>116</v>
      </c>
    </row>
    <row r="124" spans="1:3" ht="15" customHeight="1" x14ac:dyDescent="0.35">
      <c r="A124" s="13">
        <v>40610</v>
      </c>
      <c r="B124" s="14" t="s">
        <v>117</v>
      </c>
      <c r="C124" s="14" t="s">
        <v>116</v>
      </c>
    </row>
    <row r="125" spans="1:3" ht="15" customHeight="1" x14ac:dyDescent="0.35">
      <c r="A125" s="13">
        <v>40654</v>
      </c>
      <c r="B125" s="14" t="s">
        <v>123</v>
      </c>
      <c r="C125" s="14" t="s">
        <v>121</v>
      </c>
    </row>
    <row r="126" spans="1:3" ht="15" customHeight="1" x14ac:dyDescent="0.35">
      <c r="A126" s="13">
        <v>40655</v>
      </c>
      <c r="B126" s="14" t="s">
        <v>118</v>
      </c>
      <c r="C126" s="14" t="s">
        <v>119</v>
      </c>
    </row>
    <row r="127" spans="1:3" ht="15" customHeight="1" x14ac:dyDescent="0.35">
      <c r="A127" s="13">
        <v>40664</v>
      </c>
      <c r="B127" s="14" t="s">
        <v>130</v>
      </c>
      <c r="C127" s="14" t="s">
        <v>122</v>
      </c>
    </row>
    <row r="128" spans="1:3" ht="15" customHeight="1" x14ac:dyDescent="0.35">
      <c r="A128" s="13">
        <v>40717</v>
      </c>
      <c r="B128" s="14" t="s">
        <v>123</v>
      </c>
      <c r="C128" s="14" t="s">
        <v>124</v>
      </c>
    </row>
    <row r="129" spans="1:3" ht="15" customHeight="1" x14ac:dyDescent="0.35">
      <c r="A129" s="13">
        <v>40793</v>
      </c>
      <c r="B129" s="14" t="s">
        <v>131</v>
      </c>
      <c r="C129" s="14" t="s">
        <v>125</v>
      </c>
    </row>
    <row r="130" spans="1:3" ht="15" customHeight="1" x14ac:dyDescent="0.35">
      <c r="A130" s="13">
        <v>40828</v>
      </c>
      <c r="B130" s="14" t="s">
        <v>131</v>
      </c>
      <c r="C130" s="14" t="s">
        <v>126</v>
      </c>
    </row>
    <row r="131" spans="1:3" ht="15" customHeight="1" x14ac:dyDescent="0.35">
      <c r="A131" s="13">
        <v>40849</v>
      </c>
      <c r="B131" s="14" t="s">
        <v>131</v>
      </c>
      <c r="C131" s="14" t="s">
        <v>127</v>
      </c>
    </row>
    <row r="132" spans="1:3" ht="15" customHeight="1" x14ac:dyDescent="0.35">
      <c r="A132" s="13">
        <v>40862</v>
      </c>
      <c r="B132" s="14" t="s">
        <v>117</v>
      </c>
      <c r="C132" s="14" t="s">
        <v>128</v>
      </c>
    </row>
    <row r="133" spans="1:3" ht="15" customHeight="1" x14ac:dyDescent="0.35">
      <c r="A133" s="13">
        <v>40902</v>
      </c>
      <c r="B133" s="14" t="s">
        <v>130</v>
      </c>
      <c r="C133" s="14" t="s">
        <v>129</v>
      </c>
    </row>
    <row r="134" spans="1:3" ht="15" customHeight="1" x14ac:dyDescent="0.35">
      <c r="A134" s="15">
        <v>40909</v>
      </c>
      <c r="B134" s="16" t="s">
        <v>130</v>
      </c>
      <c r="C134" s="16" t="s">
        <v>115</v>
      </c>
    </row>
    <row r="135" spans="1:3" ht="15" customHeight="1" x14ac:dyDescent="0.35">
      <c r="A135" s="15">
        <v>40959</v>
      </c>
      <c r="B135" s="16" t="s">
        <v>114</v>
      </c>
      <c r="C135" s="16" t="s">
        <v>116</v>
      </c>
    </row>
    <row r="136" spans="1:3" ht="15" customHeight="1" x14ac:dyDescent="0.35">
      <c r="A136" s="15">
        <v>40960</v>
      </c>
      <c r="B136" s="16" t="s">
        <v>117</v>
      </c>
      <c r="C136" s="16" t="s">
        <v>116</v>
      </c>
    </row>
    <row r="137" spans="1:3" ht="15" customHeight="1" x14ac:dyDescent="0.35">
      <c r="A137" s="15">
        <v>41005</v>
      </c>
      <c r="B137" s="16" t="s">
        <v>118</v>
      </c>
      <c r="C137" s="16" t="s">
        <v>119</v>
      </c>
    </row>
    <row r="138" spans="1:3" ht="15" customHeight="1" x14ac:dyDescent="0.35">
      <c r="A138" s="15">
        <v>41020</v>
      </c>
      <c r="B138" s="16" t="s">
        <v>120</v>
      </c>
      <c r="C138" s="16" t="s">
        <v>121</v>
      </c>
    </row>
    <row r="139" spans="1:3" ht="15" customHeight="1" x14ac:dyDescent="0.35">
      <c r="A139" s="15">
        <v>41030</v>
      </c>
      <c r="B139" s="16" t="s">
        <v>117</v>
      </c>
      <c r="C139" s="16" t="s">
        <v>122</v>
      </c>
    </row>
    <row r="140" spans="1:3" ht="15" customHeight="1" x14ac:dyDescent="0.35">
      <c r="A140" s="15">
        <v>41067</v>
      </c>
      <c r="B140" s="16" t="s">
        <v>123</v>
      </c>
      <c r="C140" s="16" t="s">
        <v>124</v>
      </c>
    </row>
    <row r="141" spans="1:3" ht="15" customHeight="1" x14ac:dyDescent="0.35">
      <c r="A141" s="15">
        <v>41159</v>
      </c>
      <c r="B141" s="16" t="s">
        <v>118</v>
      </c>
      <c r="C141" s="16" t="s">
        <v>125</v>
      </c>
    </row>
    <row r="142" spans="1:3" ht="15" customHeight="1" x14ac:dyDescent="0.35">
      <c r="A142" s="15">
        <v>41194</v>
      </c>
      <c r="B142" s="16" t="s">
        <v>118</v>
      </c>
      <c r="C142" s="16" t="s">
        <v>126</v>
      </c>
    </row>
    <row r="143" spans="1:3" ht="15" customHeight="1" x14ac:dyDescent="0.35">
      <c r="A143" s="15">
        <v>41215</v>
      </c>
      <c r="B143" s="16" t="s">
        <v>118</v>
      </c>
      <c r="C143" s="16" t="s">
        <v>127</v>
      </c>
    </row>
    <row r="144" spans="1:3" ht="15" customHeight="1" x14ac:dyDescent="0.35">
      <c r="A144" s="15">
        <v>41228</v>
      </c>
      <c r="B144" s="16" t="s">
        <v>123</v>
      </c>
      <c r="C144" s="16" t="s">
        <v>128</v>
      </c>
    </row>
    <row r="145" spans="1:3" ht="15" customHeight="1" x14ac:dyDescent="0.35">
      <c r="A145" s="15">
        <v>41268</v>
      </c>
      <c r="B145" s="16" t="s">
        <v>117</v>
      </c>
      <c r="C145" s="16" t="s">
        <v>129</v>
      </c>
    </row>
    <row r="146" spans="1:3" ht="15" customHeight="1" x14ac:dyDescent="0.35">
      <c r="A146" s="13">
        <v>41275</v>
      </c>
      <c r="B146" s="14" t="s">
        <v>117</v>
      </c>
      <c r="C146" s="14" t="s">
        <v>115</v>
      </c>
    </row>
    <row r="147" spans="1:3" ht="15" customHeight="1" x14ac:dyDescent="0.35">
      <c r="A147" s="13">
        <v>41316</v>
      </c>
      <c r="B147" s="14" t="s">
        <v>114</v>
      </c>
      <c r="C147" s="14" t="s">
        <v>116</v>
      </c>
    </row>
    <row r="148" spans="1:3" ht="15" customHeight="1" x14ac:dyDescent="0.35">
      <c r="A148" s="13">
        <v>41317</v>
      </c>
      <c r="B148" s="14" t="s">
        <v>117</v>
      </c>
      <c r="C148" s="14" t="s">
        <v>116</v>
      </c>
    </row>
    <row r="149" spans="1:3" ht="15" customHeight="1" x14ac:dyDescent="0.35">
      <c r="A149" s="13">
        <v>41362</v>
      </c>
      <c r="B149" s="14" t="s">
        <v>118</v>
      </c>
      <c r="C149" s="14" t="s">
        <v>119</v>
      </c>
    </row>
    <row r="150" spans="1:3" ht="15" customHeight="1" x14ac:dyDescent="0.35">
      <c r="A150" s="13">
        <v>41385</v>
      </c>
      <c r="B150" s="14" t="s">
        <v>130</v>
      </c>
      <c r="C150" s="14" t="s">
        <v>121</v>
      </c>
    </row>
    <row r="151" spans="1:3" ht="15" customHeight="1" x14ac:dyDescent="0.35">
      <c r="A151" s="13">
        <v>41395</v>
      </c>
      <c r="B151" s="14" t="s">
        <v>131</v>
      </c>
      <c r="C151" s="14" t="s">
        <v>122</v>
      </c>
    </row>
    <row r="152" spans="1:3" ht="15" customHeight="1" x14ac:dyDescent="0.35">
      <c r="A152" s="13">
        <v>41424</v>
      </c>
      <c r="B152" s="14" t="s">
        <v>123</v>
      </c>
      <c r="C152" s="14" t="s">
        <v>124</v>
      </c>
    </row>
    <row r="153" spans="1:3" ht="15" customHeight="1" x14ac:dyDescent="0.35">
      <c r="A153" s="13">
        <v>41524</v>
      </c>
      <c r="B153" s="14" t="s">
        <v>120</v>
      </c>
      <c r="C153" s="14" t="s">
        <v>125</v>
      </c>
    </row>
    <row r="154" spans="1:3" ht="15" customHeight="1" x14ac:dyDescent="0.35">
      <c r="A154" s="13">
        <v>41559</v>
      </c>
      <c r="B154" s="14" t="s">
        <v>120</v>
      </c>
      <c r="C154" s="14" t="s">
        <v>126</v>
      </c>
    </row>
    <row r="155" spans="1:3" ht="15" customHeight="1" x14ac:dyDescent="0.35">
      <c r="A155" s="13">
        <v>41580</v>
      </c>
      <c r="B155" s="14" t="s">
        <v>120</v>
      </c>
      <c r="C155" s="14" t="s">
        <v>127</v>
      </c>
    </row>
    <row r="156" spans="1:3" ht="15" customHeight="1" x14ac:dyDescent="0.35">
      <c r="A156" s="13">
        <v>41593</v>
      </c>
      <c r="B156" s="14" t="s">
        <v>118</v>
      </c>
      <c r="C156" s="14" t="s">
        <v>128</v>
      </c>
    </row>
    <row r="157" spans="1:3" ht="15" customHeight="1" x14ac:dyDescent="0.35">
      <c r="A157" s="13">
        <v>41633</v>
      </c>
      <c r="B157" s="14" t="s">
        <v>131</v>
      </c>
      <c r="C157" s="14" t="s">
        <v>129</v>
      </c>
    </row>
    <row r="158" spans="1:3" ht="15" customHeight="1" x14ac:dyDescent="0.35">
      <c r="A158" s="15">
        <v>41640</v>
      </c>
      <c r="B158" s="16" t="s">
        <v>131</v>
      </c>
      <c r="C158" s="16" t="s">
        <v>115</v>
      </c>
    </row>
    <row r="159" spans="1:3" ht="15" customHeight="1" x14ac:dyDescent="0.35">
      <c r="A159" s="15">
        <v>41701</v>
      </c>
      <c r="B159" s="16" t="s">
        <v>114</v>
      </c>
      <c r="C159" s="16" t="s">
        <v>116</v>
      </c>
    </row>
    <row r="160" spans="1:3" ht="15" customHeight="1" x14ac:dyDescent="0.35">
      <c r="A160" s="15">
        <v>41702</v>
      </c>
      <c r="B160" s="16" t="s">
        <v>117</v>
      </c>
      <c r="C160" s="16" t="s">
        <v>116</v>
      </c>
    </row>
    <row r="161" spans="1:3" ht="15" customHeight="1" x14ac:dyDescent="0.35">
      <c r="A161" s="15">
        <v>41747</v>
      </c>
      <c r="B161" s="16" t="s">
        <v>118</v>
      </c>
      <c r="C161" s="16" t="s">
        <v>119</v>
      </c>
    </row>
    <row r="162" spans="1:3" ht="15" customHeight="1" x14ac:dyDescent="0.35">
      <c r="A162" s="15">
        <v>41750</v>
      </c>
      <c r="B162" s="16" t="s">
        <v>114</v>
      </c>
      <c r="C162" s="16" t="s">
        <v>121</v>
      </c>
    </row>
    <row r="163" spans="1:3" ht="15" customHeight="1" x14ac:dyDescent="0.35">
      <c r="A163" s="15">
        <v>41760</v>
      </c>
      <c r="B163" s="16" t="s">
        <v>123</v>
      </c>
      <c r="C163" s="16" t="s">
        <v>122</v>
      </c>
    </row>
    <row r="164" spans="1:3" ht="15" customHeight="1" x14ac:dyDescent="0.35">
      <c r="A164" s="15">
        <v>41809</v>
      </c>
      <c r="B164" s="16" t="s">
        <v>123</v>
      </c>
      <c r="C164" s="16" t="s">
        <v>124</v>
      </c>
    </row>
    <row r="165" spans="1:3" ht="15" customHeight="1" x14ac:dyDescent="0.35">
      <c r="A165" s="15">
        <v>41889</v>
      </c>
      <c r="B165" s="16" t="s">
        <v>130</v>
      </c>
      <c r="C165" s="16" t="s">
        <v>125</v>
      </c>
    </row>
    <row r="166" spans="1:3" ht="15" customHeight="1" x14ac:dyDescent="0.35">
      <c r="A166" s="15">
        <v>41924</v>
      </c>
      <c r="B166" s="16" t="s">
        <v>130</v>
      </c>
      <c r="C166" s="16" t="s">
        <v>126</v>
      </c>
    </row>
    <row r="167" spans="1:3" ht="15" customHeight="1" x14ac:dyDescent="0.35">
      <c r="A167" s="15">
        <v>41945</v>
      </c>
      <c r="B167" s="16" t="s">
        <v>130</v>
      </c>
      <c r="C167" s="16" t="s">
        <v>127</v>
      </c>
    </row>
    <row r="168" spans="1:3" ht="15" customHeight="1" x14ac:dyDescent="0.35">
      <c r="A168" s="15">
        <v>41958</v>
      </c>
      <c r="B168" s="16" t="s">
        <v>120</v>
      </c>
      <c r="C168" s="16" t="s">
        <v>128</v>
      </c>
    </row>
    <row r="169" spans="1:3" ht="15" customHeight="1" x14ac:dyDescent="0.35">
      <c r="A169" s="15">
        <v>41998</v>
      </c>
      <c r="B169" s="16" t="s">
        <v>123</v>
      </c>
      <c r="C169" s="16" t="s">
        <v>129</v>
      </c>
    </row>
    <row r="170" spans="1:3" ht="15" customHeight="1" x14ac:dyDescent="0.35">
      <c r="A170" s="13">
        <v>42005</v>
      </c>
      <c r="B170" s="14" t="s">
        <v>123</v>
      </c>
      <c r="C170" s="14" t="s">
        <v>115</v>
      </c>
    </row>
    <row r="171" spans="1:3" ht="15" customHeight="1" x14ac:dyDescent="0.35">
      <c r="A171" s="13">
        <v>42051</v>
      </c>
      <c r="B171" s="14" t="s">
        <v>114</v>
      </c>
      <c r="C171" s="14" t="s">
        <v>116</v>
      </c>
    </row>
    <row r="172" spans="1:3" ht="15" customHeight="1" x14ac:dyDescent="0.35">
      <c r="A172" s="13">
        <v>42052</v>
      </c>
      <c r="B172" s="14" t="s">
        <v>117</v>
      </c>
      <c r="C172" s="14" t="s">
        <v>116</v>
      </c>
    </row>
    <row r="173" spans="1:3" ht="15" customHeight="1" x14ac:dyDescent="0.35">
      <c r="A173" s="13">
        <v>42097</v>
      </c>
      <c r="B173" s="14" t="s">
        <v>118</v>
      </c>
      <c r="C173" s="14" t="s">
        <v>119</v>
      </c>
    </row>
    <row r="174" spans="1:3" ht="15" customHeight="1" x14ac:dyDescent="0.35">
      <c r="A174" s="13">
        <v>42115</v>
      </c>
      <c r="B174" s="14" t="s">
        <v>117</v>
      </c>
      <c r="C174" s="14" t="s">
        <v>121</v>
      </c>
    </row>
    <row r="175" spans="1:3" ht="15" customHeight="1" x14ac:dyDescent="0.35">
      <c r="A175" s="13">
        <v>42125</v>
      </c>
      <c r="B175" s="14" t="s">
        <v>118</v>
      </c>
      <c r="C175" s="14" t="s">
        <v>122</v>
      </c>
    </row>
    <row r="176" spans="1:3" ht="15" customHeight="1" x14ac:dyDescent="0.35">
      <c r="A176" s="13">
        <v>42159</v>
      </c>
      <c r="B176" s="14" t="s">
        <v>123</v>
      </c>
      <c r="C176" s="14" t="s">
        <v>124</v>
      </c>
    </row>
    <row r="177" spans="1:3" ht="15" customHeight="1" x14ac:dyDescent="0.35">
      <c r="A177" s="13">
        <v>42254</v>
      </c>
      <c r="B177" s="14" t="s">
        <v>114</v>
      </c>
      <c r="C177" s="14" t="s">
        <v>125</v>
      </c>
    </row>
    <row r="178" spans="1:3" ht="15" customHeight="1" x14ac:dyDescent="0.35">
      <c r="A178" s="13">
        <v>42289</v>
      </c>
      <c r="B178" s="14" t="s">
        <v>114</v>
      </c>
      <c r="C178" s="14" t="s">
        <v>126</v>
      </c>
    </row>
    <row r="179" spans="1:3" ht="15" customHeight="1" x14ac:dyDescent="0.35">
      <c r="A179" s="13">
        <v>42310</v>
      </c>
      <c r="B179" s="14" t="s">
        <v>114</v>
      </c>
      <c r="C179" s="14" t="s">
        <v>127</v>
      </c>
    </row>
    <row r="180" spans="1:3" ht="15" customHeight="1" x14ac:dyDescent="0.35">
      <c r="A180" s="13">
        <v>42323</v>
      </c>
      <c r="B180" s="14" t="s">
        <v>130</v>
      </c>
      <c r="C180" s="14" t="s">
        <v>128</v>
      </c>
    </row>
    <row r="181" spans="1:3" ht="15" customHeight="1" x14ac:dyDescent="0.35">
      <c r="A181" s="13">
        <v>42363</v>
      </c>
      <c r="B181" s="14" t="s">
        <v>118</v>
      </c>
      <c r="C181" s="14" t="s">
        <v>129</v>
      </c>
    </row>
    <row r="182" spans="1:3" ht="15" customHeight="1" x14ac:dyDescent="0.35">
      <c r="A182" s="15">
        <v>42370</v>
      </c>
      <c r="B182" s="16" t="s">
        <v>118</v>
      </c>
      <c r="C182" s="16" t="s">
        <v>115</v>
      </c>
    </row>
    <row r="183" spans="1:3" ht="15" customHeight="1" x14ac:dyDescent="0.35">
      <c r="A183" s="15">
        <v>42408</v>
      </c>
      <c r="B183" s="16" t="s">
        <v>114</v>
      </c>
      <c r="C183" s="16" t="s">
        <v>116</v>
      </c>
    </row>
    <row r="184" spans="1:3" ht="15" customHeight="1" x14ac:dyDescent="0.35">
      <c r="A184" s="15">
        <v>42409</v>
      </c>
      <c r="B184" s="16" t="s">
        <v>117</v>
      </c>
      <c r="C184" s="16" t="s">
        <v>116</v>
      </c>
    </row>
    <row r="185" spans="1:3" ht="15" customHeight="1" x14ac:dyDescent="0.35">
      <c r="A185" s="15">
        <v>42454</v>
      </c>
      <c r="B185" s="16" t="s">
        <v>118</v>
      </c>
      <c r="C185" s="16" t="s">
        <v>119</v>
      </c>
    </row>
    <row r="186" spans="1:3" ht="15" customHeight="1" x14ac:dyDescent="0.35">
      <c r="A186" s="15">
        <v>42481</v>
      </c>
      <c r="B186" s="16" t="s">
        <v>123</v>
      </c>
      <c r="C186" s="16" t="s">
        <v>121</v>
      </c>
    </row>
    <row r="187" spans="1:3" ht="15" customHeight="1" x14ac:dyDescent="0.35">
      <c r="A187" s="15">
        <v>42491</v>
      </c>
      <c r="B187" s="16" t="s">
        <v>130</v>
      </c>
      <c r="C187" s="16" t="s">
        <v>122</v>
      </c>
    </row>
    <row r="188" spans="1:3" ht="15" customHeight="1" x14ac:dyDescent="0.35">
      <c r="A188" s="15">
        <v>42516</v>
      </c>
      <c r="B188" s="16" t="s">
        <v>123</v>
      </c>
      <c r="C188" s="16" t="s">
        <v>124</v>
      </c>
    </row>
    <row r="189" spans="1:3" ht="15" customHeight="1" x14ac:dyDescent="0.35">
      <c r="A189" s="15">
        <v>42620</v>
      </c>
      <c r="B189" s="16" t="s">
        <v>131</v>
      </c>
      <c r="C189" s="16" t="s">
        <v>125</v>
      </c>
    </row>
    <row r="190" spans="1:3" ht="15" customHeight="1" x14ac:dyDescent="0.35">
      <c r="A190" s="15">
        <v>42655</v>
      </c>
      <c r="B190" s="16" t="s">
        <v>131</v>
      </c>
      <c r="C190" s="16" t="s">
        <v>126</v>
      </c>
    </row>
    <row r="191" spans="1:3" ht="15" customHeight="1" x14ac:dyDescent="0.35">
      <c r="A191" s="15">
        <v>42676</v>
      </c>
      <c r="B191" s="16" t="s">
        <v>131</v>
      </c>
      <c r="C191" s="16" t="s">
        <v>127</v>
      </c>
    </row>
    <row r="192" spans="1:3" ht="15" customHeight="1" x14ac:dyDescent="0.35">
      <c r="A192" s="15">
        <v>42689</v>
      </c>
      <c r="B192" s="16" t="s">
        <v>117</v>
      </c>
      <c r="C192" s="16" t="s">
        <v>128</v>
      </c>
    </row>
    <row r="193" spans="1:3" ht="15" customHeight="1" x14ac:dyDescent="0.35">
      <c r="A193" s="15">
        <v>42729</v>
      </c>
      <c r="B193" s="16" t="s">
        <v>130</v>
      </c>
      <c r="C193" s="16" t="s">
        <v>129</v>
      </c>
    </row>
    <row r="194" spans="1:3" ht="15" customHeight="1" x14ac:dyDescent="0.35">
      <c r="A194" s="13">
        <v>42736</v>
      </c>
      <c r="B194" s="14" t="s">
        <v>130</v>
      </c>
      <c r="C194" s="14" t="s">
        <v>115</v>
      </c>
    </row>
    <row r="195" spans="1:3" ht="15" customHeight="1" x14ac:dyDescent="0.35">
      <c r="A195" s="13">
        <v>42793</v>
      </c>
      <c r="B195" s="14" t="s">
        <v>114</v>
      </c>
      <c r="C195" s="14" t="s">
        <v>116</v>
      </c>
    </row>
    <row r="196" spans="1:3" ht="15" customHeight="1" x14ac:dyDescent="0.35">
      <c r="A196" s="13">
        <v>42794</v>
      </c>
      <c r="B196" s="14" t="s">
        <v>117</v>
      </c>
      <c r="C196" s="14" t="s">
        <v>116</v>
      </c>
    </row>
    <row r="197" spans="1:3" ht="15" customHeight="1" x14ac:dyDescent="0.35">
      <c r="A197" s="13">
        <v>42839</v>
      </c>
      <c r="B197" s="14" t="s">
        <v>118</v>
      </c>
      <c r="C197" s="14" t="s">
        <v>119</v>
      </c>
    </row>
    <row r="198" spans="1:3" ht="15" customHeight="1" x14ac:dyDescent="0.35">
      <c r="A198" s="13">
        <v>42846</v>
      </c>
      <c r="B198" s="14" t="s">
        <v>118</v>
      </c>
      <c r="C198" s="14" t="s">
        <v>121</v>
      </c>
    </row>
    <row r="199" spans="1:3" ht="15" customHeight="1" x14ac:dyDescent="0.35">
      <c r="A199" s="13">
        <v>42856</v>
      </c>
      <c r="B199" s="14" t="s">
        <v>114</v>
      </c>
      <c r="C199" s="14" t="s">
        <v>122</v>
      </c>
    </row>
    <row r="200" spans="1:3" ht="15" customHeight="1" x14ac:dyDescent="0.35">
      <c r="A200" s="13">
        <v>42901</v>
      </c>
      <c r="B200" s="14" t="s">
        <v>123</v>
      </c>
      <c r="C200" s="14" t="s">
        <v>124</v>
      </c>
    </row>
    <row r="201" spans="1:3" ht="15" customHeight="1" x14ac:dyDescent="0.35">
      <c r="A201" s="13">
        <v>42985</v>
      </c>
      <c r="B201" s="14" t="s">
        <v>123</v>
      </c>
      <c r="C201" s="14" t="s">
        <v>125</v>
      </c>
    </row>
    <row r="202" spans="1:3" ht="15" customHeight="1" x14ac:dyDescent="0.35">
      <c r="A202" s="13">
        <v>43020</v>
      </c>
      <c r="B202" s="14" t="s">
        <v>123</v>
      </c>
      <c r="C202" s="14" t="s">
        <v>126</v>
      </c>
    </row>
    <row r="203" spans="1:3" ht="15" customHeight="1" x14ac:dyDescent="0.35">
      <c r="A203" s="13">
        <v>43041</v>
      </c>
      <c r="B203" s="14" t="s">
        <v>123</v>
      </c>
      <c r="C203" s="14" t="s">
        <v>127</v>
      </c>
    </row>
    <row r="204" spans="1:3" ht="15" customHeight="1" x14ac:dyDescent="0.35">
      <c r="A204" s="13">
        <v>43054</v>
      </c>
      <c r="B204" s="14" t="s">
        <v>131</v>
      </c>
      <c r="C204" s="14" t="s">
        <v>128</v>
      </c>
    </row>
    <row r="205" spans="1:3" ht="15" customHeight="1" x14ac:dyDescent="0.35">
      <c r="A205" s="13">
        <v>43094</v>
      </c>
      <c r="B205" s="14" t="s">
        <v>114</v>
      </c>
      <c r="C205" s="14" t="s">
        <v>129</v>
      </c>
    </row>
    <row r="206" spans="1:3" ht="15" customHeight="1" x14ac:dyDescent="0.35">
      <c r="A206" s="15">
        <v>43101</v>
      </c>
      <c r="B206" s="16" t="s">
        <v>114</v>
      </c>
      <c r="C206" s="16" t="s">
        <v>115</v>
      </c>
    </row>
    <row r="207" spans="1:3" ht="15" customHeight="1" x14ac:dyDescent="0.35">
      <c r="A207" s="15">
        <v>43143</v>
      </c>
      <c r="B207" s="16" t="s">
        <v>114</v>
      </c>
      <c r="C207" s="16" t="s">
        <v>116</v>
      </c>
    </row>
    <row r="208" spans="1:3" ht="15" customHeight="1" x14ac:dyDescent="0.35">
      <c r="A208" s="15">
        <v>43144</v>
      </c>
      <c r="B208" s="16" t="s">
        <v>117</v>
      </c>
      <c r="C208" s="16" t="s">
        <v>116</v>
      </c>
    </row>
    <row r="209" spans="1:3" ht="15" customHeight="1" x14ac:dyDescent="0.35">
      <c r="A209" s="15">
        <v>43189</v>
      </c>
      <c r="B209" s="16" t="s">
        <v>118</v>
      </c>
      <c r="C209" s="16" t="s">
        <v>119</v>
      </c>
    </row>
    <row r="210" spans="1:3" ht="15" customHeight="1" x14ac:dyDescent="0.35">
      <c r="A210" s="15">
        <v>43211</v>
      </c>
      <c r="B210" s="16" t="s">
        <v>120</v>
      </c>
      <c r="C210" s="16" t="s">
        <v>121</v>
      </c>
    </row>
    <row r="211" spans="1:3" ht="15" customHeight="1" x14ac:dyDescent="0.35">
      <c r="A211" s="15">
        <v>43221</v>
      </c>
      <c r="B211" s="16" t="s">
        <v>117</v>
      </c>
      <c r="C211" s="16" t="s">
        <v>122</v>
      </c>
    </row>
    <row r="212" spans="1:3" ht="15" customHeight="1" x14ac:dyDescent="0.35">
      <c r="A212" s="15">
        <v>43251</v>
      </c>
      <c r="B212" s="16" t="s">
        <v>123</v>
      </c>
      <c r="C212" s="16" t="s">
        <v>124</v>
      </c>
    </row>
    <row r="213" spans="1:3" ht="15" customHeight="1" x14ac:dyDescent="0.35">
      <c r="A213" s="15">
        <v>43350</v>
      </c>
      <c r="B213" s="16" t="s">
        <v>118</v>
      </c>
      <c r="C213" s="16" t="s">
        <v>125</v>
      </c>
    </row>
    <row r="214" spans="1:3" ht="15" customHeight="1" x14ac:dyDescent="0.35">
      <c r="A214" s="15">
        <v>43385</v>
      </c>
      <c r="B214" s="16" t="s">
        <v>118</v>
      </c>
      <c r="C214" s="16" t="s">
        <v>126</v>
      </c>
    </row>
    <row r="215" spans="1:3" ht="15" customHeight="1" x14ac:dyDescent="0.35">
      <c r="A215" s="15">
        <v>43406</v>
      </c>
      <c r="B215" s="16" t="s">
        <v>118</v>
      </c>
      <c r="C215" s="16" t="s">
        <v>127</v>
      </c>
    </row>
    <row r="216" spans="1:3" ht="15" customHeight="1" x14ac:dyDescent="0.35">
      <c r="A216" s="15">
        <v>43419</v>
      </c>
      <c r="B216" s="16" t="s">
        <v>123</v>
      </c>
      <c r="C216" s="16" t="s">
        <v>128</v>
      </c>
    </row>
    <row r="217" spans="1:3" ht="15" customHeight="1" x14ac:dyDescent="0.35">
      <c r="A217" s="15">
        <v>43459</v>
      </c>
      <c r="B217" s="16" t="s">
        <v>117</v>
      </c>
      <c r="C217" s="16" t="s">
        <v>129</v>
      </c>
    </row>
    <row r="218" spans="1:3" ht="15" customHeight="1" x14ac:dyDescent="0.35">
      <c r="A218" s="13">
        <v>43466</v>
      </c>
      <c r="B218" s="14" t="s">
        <v>117</v>
      </c>
      <c r="C218" s="14" t="s">
        <v>115</v>
      </c>
    </row>
    <row r="219" spans="1:3" ht="15" customHeight="1" x14ac:dyDescent="0.35">
      <c r="A219" s="13">
        <v>43528</v>
      </c>
      <c r="B219" s="14" t="s">
        <v>114</v>
      </c>
      <c r="C219" s="14" t="s">
        <v>116</v>
      </c>
    </row>
    <row r="220" spans="1:3" ht="15" customHeight="1" x14ac:dyDescent="0.35">
      <c r="A220" s="13">
        <v>43529</v>
      </c>
      <c r="B220" s="14" t="s">
        <v>117</v>
      </c>
      <c r="C220" s="14" t="s">
        <v>116</v>
      </c>
    </row>
    <row r="221" spans="1:3" ht="15" customHeight="1" x14ac:dyDescent="0.35">
      <c r="A221" s="13">
        <v>43574</v>
      </c>
      <c r="B221" s="14" t="s">
        <v>118</v>
      </c>
      <c r="C221" s="14" t="s">
        <v>119</v>
      </c>
    </row>
    <row r="222" spans="1:3" ht="15" customHeight="1" x14ac:dyDescent="0.35">
      <c r="A222" s="13">
        <v>43576</v>
      </c>
      <c r="B222" s="14" t="s">
        <v>130</v>
      </c>
      <c r="C222" s="14" t="s">
        <v>121</v>
      </c>
    </row>
    <row r="223" spans="1:3" ht="15" customHeight="1" x14ac:dyDescent="0.35">
      <c r="A223" s="13">
        <v>43586</v>
      </c>
      <c r="B223" s="14" t="s">
        <v>131</v>
      </c>
      <c r="C223" s="14" t="s">
        <v>122</v>
      </c>
    </row>
    <row r="224" spans="1:3" ht="15" customHeight="1" x14ac:dyDescent="0.35">
      <c r="A224" s="13">
        <v>43636</v>
      </c>
      <c r="B224" s="14" t="s">
        <v>123</v>
      </c>
      <c r="C224" s="14" t="s">
        <v>124</v>
      </c>
    </row>
    <row r="225" spans="1:3" ht="15" customHeight="1" x14ac:dyDescent="0.35">
      <c r="A225" s="13">
        <v>43715</v>
      </c>
      <c r="B225" s="14" t="s">
        <v>120</v>
      </c>
      <c r="C225" s="14" t="s">
        <v>125</v>
      </c>
    </row>
    <row r="226" spans="1:3" ht="15" customHeight="1" x14ac:dyDescent="0.35">
      <c r="A226" s="13">
        <v>43750</v>
      </c>
      <c r="B226" s="14" t="s">
        <v>120</v>
      </c>
      <c r="C226" s="14" t="s">
        <v>126</v>
      </c>
    </row>
    <row r="227" spans="1:3" ht="15" customHeight="1" x14ac:dyDescent="0.35">
      <c r="A227" s="13">
        <v>43771</v>
      </c>
      <c r="B227" s="14" t="s">
        <v>120</v>
      </c>
      <c r="C227" s="14" t="s">
        <v>127</v>
      </c>
    </row>
    <row r="228" spans="1:3" ht="15" customHeight="1" x14ac:dyDescent="0.35">
      <c r="A228" s="13">
        <v>43784</v>
      </c>
      <c r="B228" s="14" t="s">
        <v>118</v>
      </c>
      <c r="C228" s="14" t="s">
        <v>128</v>
      </c>
    </row>
    <row r="229" spans="1:3" ht="15" customHeight="1" x14ac:dyDescent="0.35">
      <c r="A229" s="13">
        <v>43824</v>
      </c>
      <c r="B229" s="14" t="s">
        <v>131</v>
      </c>
      <c r="C229" s="14" t="s">
        <v>129</v>
      </c>
    </row>
    <row r="230" spans="1:3" ht="15" customHeight="1" x14ac:dyDescent="0.35">
      <c r="A230" s="15">
        <v>43831</v>
      </c>
      <c r="B230" s="16" t="s">
        <v>131</v>
      </c>
      <c r="C230" s="16" t="s">
        <v>115</v>
      </c>
    </row>
    <row r="231" spans="1:3" ht="15" customHeight="1" x14ac:dyDescent="0.35">
      <c r="A231" s="15">
        <v>43885</v>
      </c>
      <c r="B231" s="16" t="s">
        <v>114</v>
      </c>
      <c r="C231" s="16" t="s">
        <v>116</v>
      </c>
    </row>
    <row r="232" spans="1:3" ht="15" customHeight="1" x14ac:dyDescent="0.35">
      <c r="A232" s="15">
        <v>43886</v>
      </c>
      <c r="B232" s="16" t="s">
        <v>117</v>
      </c>
      <c r="C232" s="16" t="s">
        <v>116</v>
      </c>
    </row>
    <row r="233" spans="1:3" ht="15" customHeight="1" x14ac:dyDescent="0.35">
      <c r="A233" s="15">
        <v>43931</v>
      </c>
      <c r="B233" s="16" t="s">
        <v>118</v>
      </c>
      <c r="C233" s="16" t="s">
        <v>119</v>
      </c>
    </row>
    <row r="234" spans="1:3" ht="15" customHeight="1" x14ac:dyDescent="0.35">
      <c r="A234" s="15">
        <v>43942</v>
      </c>
      <c r="B234" s="16" t="s">
        <v>117</v>
      </c>
      <c r="C234" s="16" t="s">
        <v>121</v>
      </c>
    </row>
    <row r="235" spans="1:3" ht="15" customHeight="1" x14ac:dyDescent="0.35">
      <c r="A235" s="15">
        <v>43952</v>
      </c>
      <c r="B235" s="16" t="s">
        <v>118</v>
      </c>
      <c r="C235" s="16" t="s">
        <v>122</v>
      </c>
    </row>
    <row r="236" spans="1:3" ht="15" customHeight="1" x14ac:dyDescent="0.35">
      <c r="A236" s="15">
        <v>43993</v>
      </c>
      <c r="B236" s="16" t="s">
        <v>123</v>
      </c>
      <c r="C236" s="16" t="s">
        <v>124</v>
      </c>
    </row>
    <row r="237" spans="1:3" ht="15" customHeight="1" x14ac:dyDescent="0.35">
      <c r="A237" s="15">
        <v>44081</v>
      </c>
      <c r="B237" s="16" t="s">
        <v>114</v>
      </c>
      <c r="C237" s="16" t="s">
        <v>125</v>
      </c>
    </row>
    <row r="238" spans="1:3" ht="15" customHeight="1" x14ac:dyDescent="0.35">
      <c r="A238" s="15">
        <v>44116</v>
      </c>
      <c r="B238" s="16" t="s">
        <v>114</v>
      </c>
      <c r="C238" s="16" t="s">
        <v>126</v>
      </c>
    </row>
    <row r="239" spans="1:3" ht="15" customHeight="1" x14ac:dyDescent="0.35">
      <c r="A239" s="15">
        <v>44137</v>
      </c>
      <c r="B239" s="16" t="s">
        <v>114</v>
      </c>
      <c r="C239" s="16" t="s">
        <v>127</v>
      </c>
    </row>
    <row r="240" spans="1:3" ht="15" customHeight="1" x14ac:dyDescent="0.35">
      <c r="A240" s="15">
        <v>44150</v>
      </c>
      <c r="B240" s="16" t="s">
        <v>130</v>
      </c>
      <c r="C240" s="16" t="s">
        <v>128</v>
      </c>
    </row>
    <row r="241" spans="1:3" ht="15" customHeight="1" x14ac:dyDescent="0.35">
      <c r="A241" s="15">
        <v>44190</v>
      </c>
      <c r="B241" s="16" t="s">
        <v>118</v>
      </c>
      <c r="C241" s="16" t="s">
        <v>129</v>
      </c>
    </row>
    <row r="242" spans="1:3" ht="15" customHeight="1" x14ac:dyDescent="0.35">
      <c r="A242" s="13">
        <v>44197</v>
      </c>
      <c r="B242" s="14" t="s">
        <v>118</v>
      </c>
      <c r="C242" s="14" t="s">
        <v>115</v>
      </c>
    </row>
    <row r="243" spans="1:3" ht="15" customHeight="1" x14ac:dyDescent="0.35">
      <c r="A243" s="13">
        <v>44242</v>
      </c>
      <c r="B243" s="14" t="s">
        <v>114</v>
      </c>
      <c r="C243" s="14" t="s">
        <v>116</v>
      </c>
    </row>
    <row r="244" spans="1:3" ht="15" customHeight="1" x14ac:dyDescent="0.35">
      <c r="A244" s="13">
        <v>44243</v>
      </c>
      <c r="B244" s="14" t="s">
        <v>117</v>
      </c>
      <c r="C244" s="14" t="s">
        <v>116</v>
      </c>
    </row>
    <row r="245" spans="1:3" ht="15" customHeight="1" x14ac:dyDescent="0.35">
      <c r="A245" s="13">
        <v>44288</v>
      </c>
      <c r="B245" s="14" t="s">
        <v>118</v>
      </c>
      <c r="C245" s="14" t="s">
        <v>119</v>
      </c>
    </row>
    <row r="246" spans="1:3" ht="15" customHeight="1" x14ac:dyDescent="0.35">
      <c r="A246" s="13">
        <v>44307</v>
      </c>
      <c r="B246" s="14" t="s">
        <v>131</v>
      </c>
      <c r="C246" s="14" t="s">
        <v>121</v>
      </c>
    </row>
    <row r="247" spans="1:3" ht="15" customHeight="1" x14ac:dyDescent="0.35">
      <c r="A247" s="13">
        <v>44317</v>
      </c>
      <c r="B247" s="14" t="s">
        <v>120</v>
      </c>
      <c r="C247" s="14" t="s">
        <v>122</v>
      </c>
    </row>
    <row r="248" spans="1:3" ht="15" customHeight="1" x14ac:dyDescent="0.35">
      <c r="A248" s="13">
        <v>44350</v>
      </c>
      <c r="B248" s="14" t="s">
        <v>123</v>
      </c>
      <c r="C248" s="14" t="s">
        <v>124</v>
      </c>
    </row>
    <row r="249" spans="1:3" ht="15" customHeight="1" x14ac:dyDescent="0.35">
      <c r="A249" s="13">
        <v>44446</v>
      </c>
      <c r="B249" s="14" t="s">
        <v>117</v>
      </c>
      <c r="C249" s="14" t="s">
        <v>125</v>
      </c>
    </row>
    <row r="250" spans="1:3" ht="15" customHeight="1" x14ac:dyDescent="0.35">
      <c r="A250" s="13">
        <v>44481</v>
      </c>
      <c r="B250" s="14" t="s">
        <v>117</v>
      </c>
      <c r="C250" s="14" t="s">
        <v>126</v>
      </c>
    </row>
    <row r="251" spans="1:3" ht="15" customHeight="1" x14ac:dyDescent="0.35">
      <c r="A251" s="13">
        <v>44502</v>
      </c>
      <c r="B251" s="14" t="s">
        <v>117</v>
      </c>
      <c r="C251" s="14" t="s">
        <v>127</v>
      </c>
    </row>
    <row r="252" spans="1:3" ht="15" customHeight="1" x14ac:dyDescent="0.35">
      <c r="A252" s="13">
        <v>44515</v>
      </c>
      <c r="B252" s="14" t="s">
        <v>114</v>
      </c>
      <c r="C252" s="14" t="s">
        <v>128</v>
      </c>
    </row>
    <row r="253" spans="1:3" ht="15" customHeight="1" x14ac:dyDescent="0.35">
      <c r="A253" s="13">
        <v>44555</v>
      </c>
      <c r="B253" s="14" t="s">
        <v>120</v>
      </c>
      <c r="C253" s="14" t="s">
        <v>129</v>
      </c>
    </row>
    <row r="254" spans="1:3" ht="15" customHeight="1" x14ac:dyDescent="0.35">
      <c r="A254" s="15">
        <v>44562</v>
      </c>
      <c r="B254" s="16" t="s">
        <v>120</v>
      </c>
      <c r="C254" s="16" t="s">
        <v>115</v>
      </c>
    </row>
    <row r="255" spans="1:3" ht="15" customHeight="1" x14ac:dyDescent="0.35">
      <c r="A255" s="15">
        <v>44620</v>
      </c>
      <c r="B255" s="16" t="s">
        <v>114</v>
      </c>
      <c r="C255" s="16" t="s">
        <v>116</v>
      </c>
    </row>
    <row r="256" spans="1:3" ht="15" customHeight="1" x14ac:dyDescent="0.35">
      <c r="A256" s="15">
        <v>44621</v>
      </c>
      <c r="B256" s="16" t="s">
        <v>117</v>
      </c>
      <c r="C256" s="16" t="s">
        <v>116</v>
      </c>
    </row>
    <row r="257" spans="1:3" ht="15" customHeight="1" x14ac:dyDescent="0.35">
      <c r="A257" s="15">
        <v>44666</v>
      </c>
      <c r="B257" s="16" t="s">
        <v>118</v>
      </c>
      <c r="C257" s="16" t="s">
        <v>119</v>
      </c>
    </row>
    <row r="258" spans="1:3" ht="15" customHeight="1" x14ac:dyDescent="0.35">
      <c r="A258" s="15">
        <v>44672</v>
      </c>
      <c r="B258" s="16" t="s">
        <v>123</v>
      </c>
      <c r="C258" s="16" t="s">
        <v>121</v>
      </c>
    </row>
    <row r="259" spans="1:3" ht="15" customHeight="1" x14ac:dyDescent="0.35">
      <c r="A259" s="15">
        <v>44682</v>
      </c>
      <c r="B259" s="16" t="s">
        <v>130</v>
      </c>
      <c r="C259" s="16" t="s">
        <v>122</v>
      </c>
    </row>
    <row r="260" spans="1:3" ht="15" customHeight="1" x14ac:dyDescent="0.35">
      <c r="A260" s="15">
        <v>44728</v>
      </c>
      <c r="B260" s="16" t="s">
        <v>123</v>
      </c>
      <c r="C260" s="16" t="s">
        <v>124</v>
      </c>
    </row>
    <row r="261" spans="1:3" ht="15" customHeight="1" x14ac:dyDescent="0.35">
      <c r="A261" s="15">
        <v>44811</v>
      </c>
      <c r="B261" s="16" t="s">
        <v>131</v>
      </c>
      <c r="C261" s="16" t="s">
        <v>125</v>
      </c>
    </row>
    <row r="262" spans="1:3" ht="15" customHeight="1" x14ac:dyDescent="0.35">
      <c r="A262" s="15">
        <v>44846</v>
      </c>
      <c r="B262" s="16" t="s">
        <v>131</v>
      </c>
      <c r="C262" s="16" t="s">
        <v>126</v>
      </c>
    </row>
    <row r="263" spans="1:3" ht="15" customHeight="1" x14ac:dyDescent="0.35">
      <c r="A263" s="15">
        <v>44867</v>
      </c>
      <c r="B263" s="16" t="s">
        <v>131</v>
      </c>
      <c r="C263" s="16" t="s">
        <v>127</v>
      </c>
    </row>
    <row r="264" spans="1:3" ht="15" customHeight="1" x14ac:dyDescent="0.35">
      <c r="A264" s="15">
        <v>44880</v>
      </c>
      <c r="B264" s="16" t="s">
        <v>117</v>
      </c>
      <c r="C264" s="16" t="s">
        <v>128</v>
      </c>
    </row>
    <row r="265" spans="1:3" ht="15" customHeight="1" x14ac:dyDescent="0.35">
      <c r="A265" s="15">
        <v>44920</v>
      </c>
      <c r="B265" s="16" t="s">
        <v>130</v>
      </c>
      <c r="C265" s="16" t="s">
        <v>129</v>
      </c>
    </row>
    <row r="266" spans="1:3" ht="15" customHeight="1" x14ac:dyDescent="0.35">
      <c r="A266" s="13">
        <v>44927</v>
      </c>
      <c r="B266" s="14" t="s">
        <v>130</v>
      </c>
      <c r="C266" s="14" t="s">
        <v>115</v>
      </c>
    </row>
    <row r="267" spans="1:3" ht="15" customHeight="1" x14ac:dyDescent="0.35">
      <c r="A267" s="13">
        <v>44977</v>
      </c>
      <c r="B267" s="14" t="s">
        <v>114</v>
      </c>
      <c r="C267" s="14" t="s">
        <v>116</v>
      </c>
    </row>
    <row r="268" spans="1:3" ht="15" customHeight="1" x14ac:dyDescent="0.35">
      <c r="A268" s="13">
        <v>44978</v>
      </c>
      <c r="B268" s="14" t="s">
        <v>117</v>
      </c>
      <c r="C268" s="14" t="s">
        <v>116</v>
      </c>
    </row>
    <row r="269" spans="1:3" ht="15" customHeight="1" x14ac:dyDescent="0.35">
      <c r="A269" s="13">
        <v>45023</v>
      </c>
      <c r="B269" s="14" t="s">
        <v>118</v>
      </c>
      <c r="C269" s="14" t="s">
        <v>119</v>
      </c>
    </row>
    <row r="270" spans="1:3" ht="15" customHeight="1" x14ac:dyDescent="0.35">
      <c r="A270" s="13">
        <v>45037</v>
      </c>
      <c r="B270" s="14" t="s">
        <v>118</v>
      </c>
      <c r="C270" s="14" t="s">
        <v>121</v>
      </c>
    </row>
    <row r="271" spans="1:3" ht="15" customHeight="1" x14ac:dyDescent="0.35">
      <c r="A271" s="13">
        <v>45047</v>
      </c>
      <c r="B271" s="14" t="s">
        <v>114</v>
      </c>
      <c r="C271" s="14" t="s">
        <v>122</v>
      </c>
    </row>
    <row r="272" spans="1:3" ht="15" customHeight="1" x14ac:dyDescent="0.35">
      <c r="A272" s="13">
        <v>45085</v>
      </c>
      <c r="B272" s="14" t="s">
        <v>123</v>
      </c>
      <c r="C272" s="14" t="s">
        <v>124</v>
      </c>
    </row>
    <row r="273" spans="1:3" ht="15" customHeight="1" x14ac:dyDescent="0.35">
      <c r="A273" s="13">
        <v>45176</v>
      </c>
      <c r="B273" s="14" t="s">
        <v>123</v>
      </c>
      <c r="C273" s="14" t="s">
        <v>125</v>
      </c>
    </row>
    <row r="274" spans="1:3" ht="15" customHeight="1" x14ac:dyDescent="0.35">
      <c r="A274" s="13">
        <v>45211</v>
      </c>
      <c r="B274" s="14" t="s">
        <v>123</v>
      </c>
      <c r="C274" s="14" t="s">
        <v>126</v>
      </c>
    </row>
    <row r="275" spans="1:3" ht="15" customHeight="1" x14ac:dyDescent="0.35">
      <c r="A275" s="13">
        <v>45232</v>
      </c>
      <c r="B275" s="14" t="s">
        <v>123</v>
      </c>
      <c r="C275" s="14" t="s">
        <v>127</v>
      </c>
    </row>
    <row r="276" spans="1:3" ht="15" customHeight="1" x14ac:dyDescent="0.35">
      <c r="A276" s="13">
        <v>45245</v>
      </c>
      <c r="B276" s="14" t="s">
        <v>131</v>
      </c>
      <c r="C276" s="14" t="s">
        <v>128</v>
      </c>
    </row>
    <row r="277" spans="1:3" ht="15" customHeight="1" x14ac:dyDescent="0.35">
      <c r="A277" s="13">
        <v>45285</v>
      </c>
      <c r="B277" s="14" t="s">
        <v>114</v>
      </c>
      <c r="C277" s="14" t="s">
        <v>129</v>
      </c>
    </row>
    <row r="278" spans="1:3" ht="15" customHeight="1" x14ac:dyDescent="0.35">
      <c r="A278" s="15">
        <v>45292</v>
      </c>
      <c r="B278" s="16" t="s">
        <v>114</v>
      </c>
      <c r="C278" s="16" t="s">
        <v>115</v>
      </c>
    </row>
    <row r="279" spans="1:3" ht="15" customHeight="1" x14ac:dyDescent="0.35">
      <c r="A279" s="15">
        <v>45334</v>
      </c>
      <c r="B279" s="16" t="s">
        <v>114</v>
      </c>
      <c r="C279" s="16" t="s">
        <v>116</v>
      </c>
    </row>
    <row r="280" spans="1:3" ht="15" customHeight="1" x14ac:dyDescent="0.35">
      <c r="A280" s="15">
        <v>45335</v>
      </c>
      <c r="B280" s="16" t="s">
        <v>117</v>
      </c>
      <c r="C280" s="16" t="s">
        <v>116</v>
      </c>
    </row>
    <row r="281" spans="1:3" ht="15" customHeight="1" x14ac:dyDescent="0.35">
      <c r="A281" s="15">
        <v>45380</v>
      </c>
      <c r="B281" s="16" t="s">
        <v>118</v>
      </c>
      <c r="C281" s="16" t="s">
        <v>119</v>
      </c>
    </row>
    <row r="282" spans="1:3" ht="15" customHeight="1" x14ac:dyDescent="0.35">
      <c r="A282" s="15">
        <v>45403</v>
      </c>
      <c r="B282" s="16" t="s">
        <v>130</v>
      </c>
      <c r="C282" s="16" t="s">
        <v>121</v>
      </c>
    </row>
    <row r="283" spans="1:3" ht="15" customHeight="1" x14ac:dyDescent="0.35">
      <c r="A283" s="15">
        <v>45413</v>
      </c>
      <c r="B283" s="16" t="s">
        <v>131</v>
      </c>
      <c r="C283" s="16" t="s">
        <v>122</v>
      </c>
    </row>
    <row r="284" spans="1:3" ht="15" customHeight="1" x14ac:dyDescent="0.35">
      <c r="A284" s="15">
        <v>45442</v>
      </c>
      <c r="B284" s="16" t="s">
        <v>123</v>
      </c>
      <c r="C284" s="16" t="s">
        <v>124</v>
      </c>
    </row>
    <row r="285" spans="1:3" ht="15" customHeight="1" x14ac:dyDescent="0.35">
      <c r="A285" s="15">
        <v>45542</v>
      </c>
      <c r="B285" s="16" t="s">
        <v>120</v>
      </c>
      <c r="C285" s="16" t="s">
        <v>125</v>
      </c>
    </row>
    <row r="286" spans="1:3" ht="15" customHeight="1" x14ac:dyDescent="0.35">
      <c r="A286" s="15">
        <v>45577</v>
      </c>
      <c r="B286" s="16" t="s">
        <v>120</v>
      </c>
      <c r="C286" s="16" t="s">
        <v>126</v>
      </c>
    </row>
    <row r="287" spans="1:3" ht="15" customHeight="1" x14ac:dyDescent="0.35">
      <c r="A287" s="15">
        <v>45598</v>
      </c>
      <c r="B287" s="16" t="s">
        <v>120</v>
      </c>
      <c r="C287" s="16" t="s">
        <v>127</v>
      </c>
    </row>
    <row r="288" spans="1:3" ht="15" customHeight="1" x14ac:dyDescent="0.35">
      <c r="A288" s="15">
        <v>45611</v>
      </c>
      <c r="B288" s="16" t="s">
        <v>118</v>
      </c>
      <c r="C288" s="16" t="s">
        <v>128</v>
      </c>
    </row>
    <row r="289" spans="1:11" ht="15" customHeight="1" x14ac:dyDescent="0.35">
      <c r="A289" s="15">
        <v>45616</v>
      </c>
      <c r="B289" s="16" t="s">
        <v>131</v>
      </c>
      <c r="C289" s="16" t="s">
        <v>132</v>
      </c>
      <c r="G289" s="17"/>
      <c r="K289" s="17"/>
    </row>
    <row r="290" spans="1:11" ht="15" customHeight="1" x14ac:dyDescent="0.35">
      <c r="A290" s="15">
        <v>45651</v>
      </c>
      <c r="B290" s="16" t="s">
        <v>131</v>
      </c>
      <c r="C290" s="16" t="s">
        <v>129</v>
      </c>
    </row>
    <row r="291" spans="1:11" ht="15" customHeight="1" x14ac:dyDescent="0.35">
      <c r="A291" s="13">
        <v>45658</v>
      </c>
      <c r="B291" s="14" t="s">
        <v>131</v>
      </c>
      <c r="C291" s="14" t="s">
        <v>115</v>
      </c>
    </row>
    <row r="292" spans="1:11" ht="15" customHeight="1" x14ac:dyDescent="0.35">
      <c r="A292" s="13">
        <v>45719</v>
      </c>
      <c r="B292" s="14" t="s">
        <v>114</v>
      </c>
      <c r="C292" s="14" t="s">
        <v>116</v>
      </c>
    </row>
    <row r="293" spans="1:11" ht="15" customHeight="1" x14ac:dyDescent="0.35">
      <c r="A293" s="13">
        <v>45720</v>
      </c>
      <c r="B293" s="14" t="s">
        <v>117</v>
      </c>
      <c r="C293" s="14" t="s">
        <v>116</v>
      </c>
    </row>
    <row r="294" spans="1:11" ht="15" customHeight="1" x14ac:dyDescent="0.35">
      <c r="A294" s="13">
        <v>45765</v>
      </c>
      <c r="B294" s="14" t="s">
        <v>118</v>
      </c>
      <c r="C294" s="14" t="s">
        <v>119</v>
      </c>
    </row>
    <row r="295" spans="1:11" ht="15" customHeight="1" x14ac:dyDescent="0.35">
      <c r="A295" s="13">
        <v>45768</v>
      </c>
      <c r="B295" s="14" t="s">
        <v>114</v>
      </c>
      <c r="C295" s="14" t="s">
        <v>121</v>
      </c>
    </row>
    <row r="296" spans="1:11" ht="15" customHeight="1" x14ac:dyDescent="0.35">
      <c r="A296" s="13">
        <v>45778</v>
      </c>
      <c r="B296" s="14" t="s">
        <v>123</v>
      </c>
      <c r="C296" s="14" t="s">
        <v>122</v>
      </c>
    </row>
    <row r="297" spans="1:11" ht="15" customHeight="1" x14ac:dyDescent="0.35">
      <c r="A297" s="13">
        <v>45827</v>
      </c>
      <c r="B297" s="14" t="s">
        <v>123</v>
      </c>
      <c r="C297" s="14" t="s">
        <v>124</v>
      </c>
    </row>
    <row r="298" spans="1:11" ht="15" customHeight="1" x14ac:dyDescent="0.35">
      <c r="A298" s="13">
        <v>45907</v>
      </c>
      <c r="B298" s="14" t="s">
        <v>130</v>
      </c>
      <c r="C298" s="14" t="s">
        <v>125</v>
      </c>
    </row>
    <row r="299" spans="1:11" ht="15" customHeight="1" x14ac:dyDescent="0.35">
      <c r="A299" s="13">
        <v>45942</v>
      </c>
      <c r="B299" s="14" t="s">
        <v>130</v>
      </c>
      <c r="C299" s="14" t="s">
        <v>126</v>
      </c>
    </row>
    <row r="300" spans="1:11" ht="15" customHeight="1" x14ac:dyDescent="0.35">
      <c r="A300" s="13">
        <v>45963</v>
      </c>
      <c r="B300" s="14" t="s">
        <v>130</v>
      </c>
      <c r="C300" s="14" t="s">
        <v>127</v>
      </c>
    </row>
    <row r="301" spans="1:11" ht="15" customHeight="1" x14ac:dyDescent="0.35">
      <c r="A301" s="13">
        <v>45976</v>
      </c>
      <c r="B301" s="14" t="s">
        <v>120</v>
      </c>
      <c r="C301" s="14" t="s">
        <v>128</v>
      </c>
    </row>
    <row r="302" spans="1:11" ht="15" customHeight="1" x14ac:dyDescent="0.35">
      <c r="A302" s="13">
        <v>45981</v>
      </c>
      <c r="B302" s="14" t="s">
        <v>123</v>
      </c>
      <c r="C302" s="14" t="s">
        <v>132</v>
      </c>
      <c r="G302" s="17"/>
    </row>
    <row r="303" spans="1:11" ht="15" customHeight="1" x14ac:dyDescent="0.35">
      <c r="A303" s="13">
        <v>46016</v>
      </c>
      <c r="B303" s="14" t="s">
        <v>123</v>
      </c>
      <c r="C303" s="14" t="s">
        <v>129</v>
      </c>
    </row>
    <row r="304" spans="1:11" ht="15" customHeight="1" x14ac:dyDescent="0.35">
      <c r="A304" s="15">
        <v>46023</v>
      </c>
      <c r="B304" s="16" t="s">
        <v>123</v>
      </c>
      <c r="C304" s="16" t="s">
        <v>115</v>
      </c>
    </row>
    <row r="305" spans="1:7" ht="15" customHeight="1" x14ac:dyDescent="0.35">
      <c r="A305" s="15">
        <v>46069</v>
      </c>
      <c r="B305" s="16" t="s">
        <v>114</v>
      </c>
      <c r="C305" s="16" t="s">
        <v>116</v>
      </c>
    </row>
    <row r="306" spans="1:7" ht="15" customHeight="1" x14ac:dyDescent="0.35">
      <c r="A306" s="15">
        <v>46070</v>
      </c>
      <c r="B306" s="16" t="s">
        <v>117</v>
      </c>
      <c r="C306" s="16" t="s">
        <v>116</v>
      </c>
    </row>
    <row r="307" spans="1:7" ht="15" customHeight="1" x14ac:dyDescent="0.35">
      <c r="A307" s="15">
        <v>46115</v>
      </c>
      <c r="B307" s="16" t="s">
        <v>118</v>
      </c>
      <c r="C307" s="16" t="s">
        <v>119</v>
      </c>
    </row>
    <row r="308" spans="1:7" ht="15" customHeight="1" x14ac:dyDescent="0.35">
      <c r="A308" s="15">
        <v>46133</v>
      </c>
      <c r="B308" s="16" t="s">
        <v>117</v>
      </c>
      <c r="C308" s="16" t="s">
        <v>121</v>
      </c>
    </row>
    <row r="309" spans="1:7" ht="15" customHeight="1" x14ac:dyDescent="0.35">
      <c r="A309" s="15">
        <v>46143</v>
      </c>
      <c r="B309" s="16" t="s">
        <v>118</v>
      </c>
      <c r="C309" s="16" t="s">
        <v>122</v>
      </c>
    </row>
    <row r="310" spans="1:7" ht="15" customHeight="1" x14ac:dyDescent="0.35">
      <c r="A310" s="15">
        <v>46177</v>
      </c>
      <c r="B310" s="16" t="s">
        <v>123</v>
      </c>
      <c r="C310" s="16" t="s">
        <v>124</v>
      </c>
    </row>
    <row r="311" spans="1:7" ht="15" customHeight="1" x14ac:dyDescent="0.35">
      <c r="A311" s="15">
        <v>46272</v>
      </c>
      <c r="B311" s="16" t="s">
        <v>114</v>
      </c>
      <c r="C311" s="16" t="s">
        <v>125</v>
      </c>
    </row>
    <row r="312" spans="1:7" ht="15" customHeight="1" x14ac:dyDescent="0.35">
      <c r="A312" s="15">
        <v>46307</v>
      </c>
      <c r="B312" s="16" t="s">
        <v>114</v>
      </c>
      <c r="C312" s="16" t="s">
        <v>126</v>
      </c>
    </row>
    <row r="313" spans="1:7" ht="15" customHeight="1" x14ac:dyDescent="0.35">
      <c r="A313" s="15">
        <v>46328</v>
      </c>
      <c r="B313" s="16" t="s">
        <v>114</v>
      </c>
      <c r="C313" s="16" t="s">
        <v>127</v>
      </c>
    </row>
    <row r="314" spans="1:7" ht="15" customHeight="1" x14ac:dyDescent="0.35">
      <c r="A314" s="15">
        <v>46341</v>
      </c>
      <c r="B314" s="16" t="s">
        <v>130</v>
      </c>
      <c r="C314" s="16" t="s">
        <v>128</v>
      </c>
    </row>
    <row r="315" spans="1:7" ht="15" customHeight="1" x14ac:dyDescent="0.35">
      <c r="A315" s="15">
        <v>46346</v>
      </c>
      <c r="B315" s="16" t="s">
        <v>118</v>
      </c>
      <c r="C315" s="16" t="s">
        <v>132</v>
      </c>
      <c r="G315" s="17"/>
    </row>
    <row r="316" spans="1:7" ht="15" customHeight="1" x14ac:dyDescent="0.35">
      <c r="A316" s="15">
        <v>46381</v>
      </c>
      <c r="B316" s="16" t="s">
        <v>118</v>
      </c>
      <c r="C316" s="16" t="s">
        <v>129</v>
      </c>
    </row>
    <row r="317" spans="1:7" ht="15" customHeight="1" x14ac:dyDescent="0.35">
      <c r="A317" s="13">
        <v>46388</v>
      </c>
      <c r="B317" s="14" t="s">
        <v>118</v>
      </c>
      <c r="C317" s="14" t="s">
        <v>115</v>
      </c>
    </row>
    <row r="318" spans="1:7" ht="15" customHeight="1" x14ac:dyDescent="0.35">
      <c r="A318" s="13">
        <v>46426</v>
      </c>
      <c r="B318" s="14" t="s">
        <v>114</v>
      </c>
      <c r="C318" s="14" t="s">
        <v>116</v>
      </c>
    </row>
    <row r="319" spans="1:7" ht="15" customHeight="1" x14ac:dyDescent="0.35">
      <c r="A319" s="13">
        <v>46427</v>
      </c>
      <c r="B319" s="14" t="s">
        <v>117</v>
      </c>
      <c r="C319" s="14" t="s">
        <v>116</v>
      </c>
    </row>
    <row r="320" spans="1:7" ht="15" customHeight="1" x14ac:dyDescent="0.35">
      <c r="A320" s="13">
        <v>46472</v>
      </c>
      <c r="B320" s="14" t="s">
        <v>118</v>
      </c>
      <c r="C320" s="14" t="s">
        <v>119</v>
      </c>
    </row>
    <row r="321" spans="1:7" ht="15" customHeight="1" x14ac:dyDescent="0.35">
      <c r="A321" s="13">
        <v>46498</v>
      </c>
      <c r="B321" s="14" t="s">
        <v>131</v>
      </c>
      <c r="C321" s="14" t="s">
        <v>121</v>
      </c>
    </row>
    <row r="322" spans="1:7" ht="15" customHeight="1" x14ac:dyDescent="0.35">
      <c r="A322" s="13">
        <v>46508</v>
      </c>
      <c r="B322" s="14" t="s">
        <v>120</v>
      </c>
      <c r="C322" s="14" t="s">
        <v>122</v>
      </c>
    </row>
    <row r="323" spans="1:7" ht="15" customHeight="1" x14ac:dyDescent="0.35">
      <c r="A323" s="13">
        <v>46534</v>
      </c>
      <c r="B323" s="14" t="s">
        <v>123</v>
      </c>
      <c r="C323" s="14" t="s">
        <v>124</v>
      </c>
    </row>
    <row r="324" spans="1:7" ht="15" customHeight="1" x14ac:dyDescent="0.35">
      <c r="A324" s="13">
        <v>46637</v>
      </c>
      <c r="B324" s="14" t="s">
        <v>117</v>
      </c>
      <c r="C324" s="14" t="s">
        <v>125</v>
      </c>
    </row>
    <row r="325" spans="1:7" ht="15" customHeight="1" x14ac:dyDescent="0.35">
      <c r="A325" s="13">
        <v>46672</v>
      </c>
      <c r="B325" s="14" t="s">
        <v>117</v>
      </c>
      <c r="C325" s="14" t="s">
        <v>126</v>
      </c>
    </row>
    <row r="326" spans="1:7" ht="15" customHeight="1" x14ac:dyDescent="0.35">
      <c r="A326" s="13">
        <v>46693</v>
      </c>
      <c r="B326" s="14" t="s">
        <v>117</v>
      </c>
      <c r="C326" s="14" t="s">
        <v>127</v>
      </c>
    </row>
    <row r="327" spans="1:7" ht="15" customHeight="1" x14ac:dyDescent="0.35">
      <c r="A327" s="13">
        <v>46706</v>
      </c>
      <c r="B327" s="14" t="s">
        <v>114</v>
      </c>
      <c r="C327" s="14" t="s">
        <v>128</v>
      </c>
    </row>
    <row r="328" spans="1:7" ht="15" customHeight="1" x14ac:dyDescent="0.35">
      <c r="A328" s="13">
        <v>46711</v>
      </c>
      <c r="B328" s="14" t="s">
        <v>120</v>
      </c>
      <c r="C328" s="14" t="s">
        <v>132</v>
      </c>
      <c r="G328" s="17"/>
    </row>
    <row r="329" spans="1:7" ht="15" customHeight="1" x14ac:dyDescent="0.35">
      <c r="A329" s="13">
        <v>46746</v>
      </c>
      <c r="B329" s="14" t="s">
        <v>120</v>
      </c>
      <c r="C329" s="14" t="s">
        <v>129</v>
      </c>
    </row>
    <row r="330" spans="1:7" ht="15" customHeight="1" x14ac:dyDescent="0.35">
      <c r="A330" s="15">
        <v>46753</v>
      </c>
      <c r="B330" s="16" t="s">
        <v>120</v>
      </c>
      <c r="C330" s="16" t="s">
        <v>115</v>
      </c>
    </row>
    <row r="331" spans="1:7" ht="15" customHeight="1" x14ac:dyDescent="0.35">
      <c r="A331" s="15">
        <v>46811</v>
      </c>
      <c r="B331" s="16" t="s">
        <v>114</v>
      </c>
      <c r="C331" s="16" t="s">
        <v>116</v>
      </c>
    </row>
    <row r="332" spans="1:7" ht="15" customHeight="1" x14ac:dyDescent="0.35">
      <c r="A332" s="15">
        <v>46812</v>
      </c>
      <c r="B332" s="16" t="s">
        <v>117</v>
      </c>
      <c r="C332" s="16" t="s">
        <v>116</v>
      </c>
    </row>
    <row r="333" spans="1:7" ht="15" customHeight="1" x14ac:dyDescent="0.35">
      <c r="A333" s="15">
        <v>46857</v>
      </c>
      <c r="B333" s="16" t="s">
        <v>118</v>
      </c>
      <c r="C333" s="16" t="s">
        <v>119</v>
      </c>
    </row>
    <row r="334" spans="1:7" ht="15" customHeight="1" x14ac:dyDescent="0.35">
      <c r="A334" s="15">
        <v>46864</v>
      </c>
      <c r="B334" s="16" t="s">
        <v>118</v>
      </c>
      <c r="C334" s="16" t="s">
        <v>121</v>
      </c>
    </row>
    <row r="335" spans="1:7" ht="15" customHeight="1" x14ac:dyDescent="0.35">
      <c r="A335" s="15">
        <v>46874</v>
      </c>
      <c r="B335" s="16" t="s">
        <v>114</v>
      </c>
      <c r="C335" s="16" t="s">
        <v>122</v>
      </c>
    </row>
    <row r="336" spans="1:7" ht="15" customHeight="1" x14ac:dyDescent="0.35">
      <c r="A336" s="15">
        <v>46919</v>
      </c>
      <c r="B336" s="16" t="s">
        <v>123</v>
      </c>
      <c r="C336" s="16" t="s">
        <v>124</v>
      </c>
    </row>
    <row r="337" spans="1:7" ht="15" customHeight="1" x14ac:dyDescent="0.35">
      <c r="A337" s="15">
        <v>47003</v>
      </c>
      <c r="B337" s="16" t="s">
        <v>123</v>
      </c>
      <c r="C337" s="16" t="s">
        <v>125</v>
      </c>
    </row>
    <row r="338" spans="1:7" ht="15" customHeight="1" x14ac:dyDescent="0.35">
      <c r="A338" s="15">
        <v>47038</v>
      </c>
      <c r="B338" s="16" t="s">
        <v>123</v>
      </c>
      <c r="C338" s="16" t="s">
        <v>126</v>
      </c>
    </row>
    <row r="339" spans="1:7" ht="15" customHeight="1" x14ac:dyDescent="0.35">
      <c r="A339" s="15">
        <v>47059</v>
      </c>
      <c r="B339" s="16" t="s">
        <v>123</v>
      </c>
      <c r="C339" s="16" t="s">
        <v>127</v>
      </c>
    </row>
    <row r="340" spans="1:7" ht="15" customHeight="1" x14ac:dyDescent="0.35">
      <c r="A340" s="15">
        <v>47072</v>
      </c>
      <c r="B340" s="16" t="s">
        <v>131</v>
      </c>
      <c r="C340" s="16" t="s">
        <v>128</v>
      </c>
    </row>
    <row r="341" spans="1:7" ht="15" customHeight="1" x14ac:dyDescent="0.35">
      <c r="A341" s="15">
        <v>47077</v>
      </c>
      <c r="B341" s="16" t="s">
        <v>114</v>
      </c>
      <c r="C341" s="16" t="s">
        <v>132</v>
      </c>
      <c r="G341" s="17"/>
    </row>
    <row r="342" spans="1:7" ht="15" customHeight="1" x14ac:dyDescent="0.35">
      <c r="A342" s="15">
        <v>47112</v>
      </c>
      <c r="B342" s="16" t="s">
        <v>114</v>
      </c>
      <c r="C342" s="16" t="s">
        <v>129</v>
      </c>
    </row>
    <row r="343" spans="1:7" ht="15" customHeight="1" x14ac:dyDescent="0.35">
      <c r="A343" s="13">
        <v>47119</v>
      </c>
      <c r="B343" s="14" t="s">
        <v>114</v>
      </c>
      <c r="C343" s="14" t="s">
        <v>115</v>
      </c>
    </row>
    <row r="344" spans="1:7" ht="15" customHeight="1" x14ac:dyDescent="0.35">
      <c r="A344" s="13">
        <v>47161</v>
      </c>
      <c r="B344" s="14" t="s">
        <v>114</v>
      </c>
      <c r="C344" s="14" t="s">
        <v>116</v>
      </c>
    </row>
    <row r="345" spans="1:7" ht="15" customHeight="1" x14ac:dyDescent="0.35">
      <c r="A345" s="13">
        <v>47162</v>
      </c>
      <c r="B345" s="14" t="s">
        <v>117</v>
      </c>
      <c r="C345" s="14" t="s">
        <v>116</v>
      </c>
    </row>
    <row r="346" spans="1:7" ht="15" customHeight="1" x14ac:dyDescent="0.35">
      <c r="A346" s="13">
        <v>47207</v>
      </c>
      <c r="B346" s="14" t="s">
        <v>118</v>
      </c>
      <c r="C346" s="14" t="s">
        <v>119</v>
      </c>
    </row>
    <row r="347" spans="1:7" ht="15" customHeight="1" x14ac:dyDescent="0.35">
      <c r="A347" s="13">
        <v>47229</v>
      </c>
      <c r="B347" s="14" t="s">
        <v>120</v>
      </c>
      <c r="C347" s="14" t="s">
        <v>121</v>
      </c>
    </row>
    <row r="348" spans="1:7" ht="15" customHeight="1" x14ac:dyDescent="0.35">
      <c r="A348" s="13">
        <v>47239</v>
      </c>
      <c r="B348" s="14" t="s">
        <v>117</v>
      </c>
      <c r="C348" s="14" t="s">
        <v>122</v>
      </c>
    </row>
    <row r="349" spans="1:7" ht="15" customHeight="1" x14ac:dyDescent="0.35">
      <c r="A349" s="13">
        <v>47269</v>
      </c>
      <c r="B349" s="14" t="s">
        <v>123</v>
      </c>
      <c r="C349" s="14" t="s">
        <v>124</v>
      </c>
    </row>
    <row r="350" spans="1:7" ht="15" customHeight="1" x14ac:dyDescent="0.35">
      <c r="A350" s="13">
        <v>47368</v>
      </c>
      <c r="B350" s="14" t="s">
        <v>118</v>
      </c>
      <c r="C350" s="14" t="s">
        <v>125</v>
      </c>
    </row>
    <row r="351" spans="1:7" ht="15" customHeight="1" x14ac:dyDescent="0.35">
      <c r="A351" s="13">
        <v>47403</v>
      </c>
      <c r="B351" s="14" t="s">
        <v>118</v>
      </c>
      <c r="C351" s="14" t="s">
        <v>126</v>
      </c>
    </row>
    <row r="352" spans="1:7" ht="15" customHeight="1" x14ac:dyDescent="0.35">
      <c r="A352" s="13">
        <v>47424</v>
      </c>
      <c r="B352" s="14" t="s">
        <v>118</v>
      </c>
      <c r="C352" s="14" t="s">
        <v>127</v>
      </c>
    </row>
    <row r="353" spans="1:7" ht="15" customHeight="1" x14ac:dyDescent="0.35">
      <c r="A353" s="13">
        <v>47437</v>
      </c>
      <c r="B353" s="14" t="s">
        <v>123</v>
      </c>
      <c r="C353" s="14" t="s">
        <v>128</v>
      </c>
    </row>
    <row r="354" spans="1:7" ht="15" customHeight="1" x14ac:dyDescent="0.35">
      <c r="A354" s="13">
        <v>47442</v>
      </c>
      <c r="B354" s="14" t="s">
        <v>117</v>
      </c>
      <c r="C354" s="14" t="s">
        <v>132</v>
      </c>
      <c r="G354" s="17"/>
    </row>
    <row r="355" spans="1:7" ht="15" customHeight="1" x14ac:dyDescent="0.35">
      <c r="A355" s="13">
        <v>47477</v>
      </c>
      <c r="B355" s="14" t="s">
        <v>117</v>
      </c>
      <c r="C355" s="14" t="s">
        <v>129</v>
      </c>
    </row>
    <row r="356" spans="1:7" ht="15" customHeight="1" x14ac:dyDescent="0.35">
      <c r="A356" s="15">
        <v>47484</v>
      </c>
      <c r="B356" s="16" t="s">
        <v>117</v>
      </c>
      <c r="C356" s="16" t="s">
        <v>115</v>
      </c>
    </row>
    <row r="357" spans="1:7" ht="15" customHeight="1" x14ac:dyDescent="0.35">
      <c r="A357" s="15">
        <v>47546</v>
      </c>
      <c r="B357" s="16" t="s">
        <v>114</v>
      </c>
      <c r="C357" s="16" t="s">
        <v>116</v>
      </c>
    </row>
    <row r="358" spans="1:7" ht="15" customHeight="1" x14ac:dyDescent="0.35">
      <c r="A358" s="15">
        <v>47547</v>
      </c>
      <c r="B358" s="16" t="s">
        <v>117</v>
      </c>
      <c r="C358" s="16" t="s">
        <v>116</v>
      </c>
    </row>
    <row r="359" spans="1:7" ht="15" customHeight="1" x14ac:dyDescent="0.35">
      <c r="A359" s="15">
        <v>47592</v>
      </c>
      <c r="B359" s="16" t="s">
        <v>118</v>
      </c>
      <c r="C359" s="16" t="s">
        <v>119</v>
      </c>
    </row>
    <row r="360" spans="1:7" ht="15" customHeight="1" x14ac:dyDescent="0.35">
      <c r="A360" s="15">
        <v>47594</v>
      </c>
      <c r="B360" s="16" t="s">
        <v>130</v>
      </c>
      <c r="C360" s="16" t="s">
        <v>121</v>
      </c>
    </row>
    <row r="361" spans="1:7" ht="15" customHeight="1" x14ac:dyDescent="0.35">
      <c r="A361" s="15">
        <v>47604</v>
      </c>
      <c r="B361" s="16" t="s">
        <v>131</v>
      </c>
      <c r="C361" s="16" t="s">
        <v>122</v>
      </c>
    </row>
    <row r="362" spans="1:7" ht="15" customHeight="1" x14ac:dyDescent="0.35">
      <c r="A362" s="15">
        <v>47654</v>
      </c>
      <c r="B362" s="16" t="s">
        <v>123</v>
      </c>
      <c r="C362" s="16" t="s">
        <v>124</v>
      </c>
    </row>
    <row r="363" spans="1:7" ht="15" customHeight="1" x14ac:dyDescent="0.35">
      <c r="A363" s="15">
        <v>47733</v>
      </c>
      <c r="B363" s="16" t="s">
        <v>120</v>
      </c>
      <c r="C363" s="16" t="s">
        <v>125</v>
      </c>
    </row>
    <row r="364" spans="1:7" ht="15" customHeight="1" x14ac:dyDescent="0.35">
      <c r="A364" s="15">
        <v>47768</v>
      </c>
      <c r="B364" s="16" t="s">
        <v>120</v>
      </c>
      <c r="C364" s="16" t="s">
        <v>126</v>
      </c>
    </row>
    <row r="365" spans="1:7" ht="15" customHeight="1" x14ac:dyDescent="0.35">
      <c r="A365" s="15">
        <v>47789</v>
      </c>
      <c r="B365" s="16" t="s">
        <v>120</v>
      </c>
      <c r="C365" s="16" t="s">
        <v>127</v>
      </c>
    </row>
    <row r="366" spans="1:7" ht="15" customHeight="1" x14ac:dyDescent="0.35">
      <c r="A366" s="15">
        <v>47802</v>
      </c>
      <c r="B366" s="16" t="s">
        <v>118</v>
      </c>
      <c r="C366" s="16" t="s">
        <v>128</v>
      </c>
    </row>
    <row r="367" spans="1:7" ht="15" customHeight="1" x14ac:dyDescent="0.35">
      <c r="A367" s="15">
        <v>47807</v>
      </c>
      <c r="B367" s="16" t="s">
        <v>131</v>
      </c>
      <c r="C367" s="16" t="s">
        <v>132</v>
      </c>
      <c r="G367" s="17"/>
    </row>
    <row r="368" spans="1:7" ht="15" customHeight="1" x14ac:dyDescent="0.35">
      <c r="A368" s="15">
        <v>47842</v>
      </c>
      <c r="B368" s="16" t="s">
        <v>131</v>
      </c>
      <c r="C368" s="16" t="s">
        <v>129</v>
      </c>
    </row>
    <row r="369" spans="1:7" ht="15" customHeight="1" x14ac:dyDescent="0.35">
      <c r="A369" s="13">
        <v>47849</v>
      </c>
      <c r="B369" s="14" t="s">
        <v>131</v>
      </c>
      <c r="C369" s="14" t="s">
        <v>115</v>
      </c>
    </row>
    <row r="370" spans="1:7" ht="15" customHeight="1" x14ac:dyDescent="0.35">
      <c r="A370" s="13">
        <v>47903</v>
      </c>
      <c r="B370" s="14" t="s">
        <v>114</v>
      </c>
      <c r="C370" s="14" t="s">
        <v>116</v>
      </c>
    </row>
    <row r="371" spans="1:7" ht="15" customHeight="1" x14ac:dyDescent="0.35">
      <c r="A371" s="13">
        <v>47904</v>
      </c>
      <c r="B371" s="14" t="s">
        <v>117</v>
      </c>
      <c r="C371" s="14" t="s">
        <v>116</v>
      </c>
    </row>
    <row r="372" spans="1:7" ht="15" customHeight="1" x14ac:dyDescent="0.35">
      <c r="A372" s="13">
        <v>47949</v>
      </c>
      <c r="B372" s="14" t="s">
        <v>118</v>
      </c>
      <c r="C372" s="14" t="s">
        <v>119</v>
      </c>
    </row>
    <row r="373" spans="1:7" ht="15" customHeight="1" x14ac:dyDescent="0.35">
      <c r="A373" s="13">
        <v>47959</v>
      </c>
      <c r="B373" s="14" t="s">
        <v>114</v>
      </c>
      <c r="C373" s="14" t="s">
        <v>121</v>
      </c>
    </row>
    <row r="374" spans="1:7" ht="15" customHeight="1" x14ac:dyDescent="0.35">
      <c r="A374" s="13">
        <v>47969</v>
      </c>
      <c r="B374" s="14" t="s">
        <v>123</v>
      </c>
      <c r="C374" s="14" t="s">
        <v>122</v>
      </c>
    </row>
    <row r="375" spans="1:7" ht="15" customHeight="1" x14ac:dyDescent="0.35">
      <c r="A375" s="13">
        <v>48011</v>
      </c>
      <c r="B375" s="14" t="s">
        <v>123</v>
      </c>
      <c r="C375" s="14" t="s">
        <v>124</v>
      </c>
    </row>
    <row r="376" spans="1:7" ht="15" customHeight="1" x14ac:dyDescent="0.35">
      <c r="A376" s="13">
        <v>48098</v>
      </c>
      <c r="B376" s="14" t="s">
        <v>130</v>
      </c>
      <c r="C376" s="14" t="s">
        <v>125</v>
      </c>
    </row>
    <row r="377" spans="1:7" ht="15" customHeight="1" x14ac:dyDescent="0.35">
      <c r="A377" s="13">
        <v>48133</v>
      </c>
      <c r="B377" s="14" t="s">
        <v>130</v>
      </c>
      <c r="C377" s="14" t="s">
        <v>126</v>
      </c>
    </row>
    <row r="378" spans="1:7" ht="15" customHeight="1" x14ac:dyDescent="0.35">
      <c r="A378" s="13">
        <v>48154</v>
      </c>
      <c r="B378" s="14" t="s">
        <v>130</v>
      </c>
      <c r="C378" s="14" t="s">
        <v>127</v>
      </c>
    </row>
    <row r="379" spans="1:7" ht="15" customHeight="1" x14ac:dyDescent="0.35">
      <c r="A379" s="13">
        <v>48167</v>
      </c>
      <c r="B379" s="14" t="s">
        <v>120</v>
      </c>
      <c r="C379" s="14" t="s">
        <v>128</v>
      </c>
    </row>
    <row r="380" spans="1:7" ht="15" customHeight="1" x14ac:dyDescent="0.35">
      <c r="A380" s="13">
        <v>48172</v>
      </c>
      <c r="B380" s="14" t="s">
        <v>123</v>
      </c>
      <c r="C380" s="14" t="s">
        <v>132</v>
      </c>
      <c r="G380" s="17"/>
    </row>
    <row r="381" spans="1:7" ht="15" customHeight="1" x14ac:dyDescent="0.35">
      <c r="A381" s="13">
        <v>48207</v>
      </c>
      <c r="B381" s="14" t="s">
        <v>123</v>
      </c>
      <c r="C381" s="14" t="s">
        <v>129</v>
      </c>
    </row>
    <row r="382" spans="1:7" ht="15" customHeight="1" x14ac:dyDescent="0.35">
      <c r="A382" s="15">
        <v>48214</v>
      </c>
      <c r="B382" s="16" t="s">
        <v>123</v>
      </c>
      <c r="C382" s="16" t="s">
        <v>115</v>
      </c>
    </row>
    <row r="383" spans="1:7" ht="15" customHeight="1" x14ac:dyDescent="0.35">
      <c r="A383" s="15">
        <v>48253</v>
      </c>
      <c r="B383" s="16" t="s">
        <v>114</v>
      </c>
      <c r="C383" s="16" t="s">
        <v>116</v>
      </c>
    </row>
    <row r="384" spans="1:7" ht="15" customHeight="1" x14ac:dyDescent="0.35">
      <c r="A384" s="15">
        <v>48254</v>
      </c>
      <c r="B384" s="16" t="s">
        <v>117</v>
      </c>
      <c r="C384" s="16" t="s">
        <v>116</v>
      </c>
    </row>
    <row r="385" spans="1:7" ht="15" customHeight="1" x14ac:dyDescent="0.35">
      <c r="A385" s="15">
        <v>48299</v>
      </c>
      <c r="B385" s="16" t="s">
        <v>118</v>
      </c>
      <c r="C385" s="16" t="s">
        <v>119</v>
      </c>
    </row>
    <row r="386" spans="1:7" ht="15" customHeight="1" x14ac:dyDescent="0.35">
      <c r="A386" s="15">
        <v>48325</v>
      </c>
      <c r="B386" s="16" t="s">
        <v>131</v>
      </c>
      <c r="C386" s="16" t="s">
        <v>121</v>
      </c>
    </row>
    <row r="387" spans="1:7" ht="15" customHeight="1" x14ac:dyDescent="0.35">
      <c r="A387" s="15">
        <v>48335</v>
      </c>
      <c r="B387" s="16" t="s">
        <v>120</v>
      </c>
      <c r="C387" s="16" t="s">
        <v>122</v>
      </c>
    </row>
    <row r="388" spans="1:7" ht="15" customHeight="1" x14ac:dyDescent="0.35">
      <c r="A388" s="15">
        <v>48361</v>
      </c>
      <c r="B388" s="16" t="s">
        <v>123</v>
      </c>
      <c r="C388" s="16" t="s">
        <v>124</v>
      </c>
    </row>
    <row r="389" spans="1:7" ht="15" customHeight="1" x14ac:dyDescent="0.35">
      <c r="A389" s="15">
        <v>48464</v>
      </c>
      <c r="B389" s="16" t="s">
        <v>117</v>
      </c>
      <c r="C389" s="16" t="s">
        <v>125</v>
      </c>
    </row>
    <row r="390" spans="1:7" ht="15" customHeight="1" x14ac:dyDescent="0.35">
      <c r="A390" s="15">
        <v>48499</v>
      </c>
      <c r="B390" s="16" t="s">
        <v>117</v>
      </c>
      <c r="C390" s="16" t="s">
        <v>126</v>
      </c>
    </row>
    <row r="391" spans="1:7" ht="15" customHeight="1" x14ac:dyDescent="0.35">
      <c r="A391" s="15">
        <v>48520</v>
      </c>
      <c r="B391" s="16" t="s">
        <v>117</v>
      </c>
      <c r="C391" s="16" t="s">
        <v>127</v>
      </c>
    </row>
    <row r="392" spans="1:7" ht="15" customHeight="1" x14ac:dyDescent="0.35">
      <c r="A392" s="15">
        <v>48533</v>
      </c>
      <c r="B392" s="16" t="s">
        <v>114</v>
      </c>
      <c r="C392" s="16" t="s">
        <v>128</v>
      </c>
    </row>
    <row r="393" spans="1:7" ht="15" customHeight="1" x14ac:dyDescent="0.35">
      <c r="A393" s="15">
        <v>48538</v>
      </c>
      <c r="B393" s="16" t="s">
        <v>120</v>
      </c>
      <c r="C393" s="16" t="s">
        <v>132</v>
      </c>
      <c r="G393" s="17"/>
    </row>
    <row r="394" spans="1:7" ht="15" customHeight="1" x14ac:dyDescent="0.35">
      <c r="A394" s="15">
        <v>48573</v>
      </c>
      <c r="B394" s="16" t="s">
        <v>120</v>
      </c>
      <c r="C394" s="16" t="s">
        <v>129</v>
      </c>
    </row>
    <row r="395" spans="1:7" ht="15" customHeight="1" x14ac:dyDescent="0.35">
      <c r="A395" s="13">
        <v>48580</v>
      </c>
      <c r="B395" s="14" t="s">
        <v>120</v>
      </c>
      <c r="C395" s="14" t="s">
        <v>115</v>
      </c>
    </row>
    <row r="396" spans="1:7" ht="15" customHeight="1" x14ac:dyDescent="0.35">
      <c r="A396" s="13">
        <v>48638</v>
      </c>
      <c r="B396" s="14" t="s">
        <v>114</v>
      </c>
      <c r="C396" s="14" t="s">
        <v>116</v>
      </c>
    </row>
    <row r="397" spans="1:7" ht="15" customHeight="1" x14ac:dyDescent="0.35">
      <c r="A397" s="13">
        <v>48639</v>
      </c>
      <c r="B397" s="14" t="s">
        <v>117</v>
      </c>
      <c r="C397" s="14" t="s">
        <v>116</v>
      </c>
    </row>
    <row r="398" spans="1:7" ht="15" customHeight="1" x14ac:dyDescent="0.35">
      <c r="A398" s="13">
        <v>48684</v>
      </c>
      <c r="B398" s="14" t="s">
        <v>118</v>
      </c>
      <c r="C398" s="14" t="s">
        <v>119</v>
      </c>
    </row>
    <row r="399" spans="1:7" ht="15" customHeight="1" x14ac:dyDescent="0.35">
      <c r="A399" s="13">
        <v>48690</v>
      </c>
      <c r="B399" s="14" t="s">
        <v>123</v>
      </c>
      <c r="C399" s="14" t="s">
        <v>121</v>
      </c>
    </row>
    <row r="400" spans="1:7" ht="15" customHeight="1" x14ac:dyDescent="0.35">
      <c r="A400" s="13">
        <v>48700</v>
      </c>
      <c r="B400" s="14" t="s">
        <v>130</v>
      </c>
      <c r="C400" s="14" t="s">
        <v>122</v>
      </c>
    </row>
    <row r="401" spans="1:7" ht="15" customHeight="1" x14ac:dyDescent="0.35">
      <c r="A401" s="13">
        <v>48746</v>
      </c>
      <c r="B401" s="14" t="s">
        <v>123</v>
      </c>
      <c r="C401" s="14" t="s">
        <v>124</v>
      </c>
    </row>
    <row r="402" spans="1:7" ht="15" customHeight="1" x14ac:dyDescent="0.35">
      <c r="A402" s="13">
        <v>48829</v>
      </c>
      <c r="B402" s="14" t="s">
        <v>131</v>
      </c>
      <c r="C402" s="14" t="s">
        <v>125</v>
      </c>
    </row>
    <row r="403" spans="1:7" ht="15" customHeight="1" x14ac:dyDescent="0.35">
      <c r="A403" s="13">
        <v>48864</v>
      </c>
      <c r="B403" s="14" t="s">
        <v>131</v>
      </c>
      <c r="C403" s="14" t="s">
        <v>126</v>
      </c>
    </row>
    <row r="404" spans="1:7" ht="15" customHeight="1" x14ac:dyDescent="0.35">
      <c r="A404" s="13">
        <v>48885</v>
      </c>
      <c r="B404" s="14" t="s">
        <v>131</v>
      </c>
      <c r="C404" s="14" t="s">
        <v>127</v>
      </c>
    </row>
    <row r="405" spans="1:7" ht="15" customHeight="1" x14ac:dyDescent="0.35">
      <c r="A405" s="13">
        <v>48898</v>
      </c>
      <c r="B405" s="14" t="s">
        <v>117</v>
      </c>
      <c r="C405" s="14" t="s">
        <v>128</v>
      </c>
    </row>
    <row r="406" spans="1:7" ht="15" customHeight="1" x14ac:dyDescent="0.35">
      <c r="A406" s="13">
        <v>48903</v>
      </c>
      <c r="B406" s="14" t="s">
        <v>130</v>
      </c>
      <c r="C406" s="14" t="s">
        <v>132</v>
      </c>
      <c r="G406" s="17"/>
    </row>
    <row r="407" spans="1:7" ht="15" customHeight="1" x14ac:dyDescent="0.35">
      <c r="A407" s="13">
        <v>48938</v>
      </c>
      <c r="B407" s="14" t="s">
        <v>130</v>
      </c>
      <c r="C407" s="14" t="s">
        <v>129</v>
      </c>
    </row>
    <row r="408" spans="1:7" ht="15" customHeight="1" x14ac:dyDescent="0.35">
      <c r="A408" s="15">
        <v>48945</v>
      </c>
      <c r="B408" s="16" t="s">
        <v>130</v>
      </c>
      <c r="C408" s="16" t="s">
        <v>115</v>
      </c>
    </row>
    <row r="409" spans="1:7" ht="15" customHeight="1" x14ac:dyDescent="0.35">
      <c r="A409" s="15">
        <v>48995</v>
      </c>
      <c r="B409" s="16" t="s">
        <v>114</v>
      </c>
      <c r="C409" s="16" t="s">
        <v>116</v>
      </c>
    </row>
    <row r="410" spans="1:7" ht="15" customHeight="1" x14ac:dyDescent="0.35">
      <c r="A410" s="15">
        <v>48996</v>
      </c>
      <c r="B410" s="16" t="s">
        <v>117</v>
      </c>
      <c r="C410" s="16" t="s">
        <v>116</v>
      </c>
    </row>
    <row r="411" spans="1:7" ht="15" customHeight="1" x14ac:dyDescent="0.35">
      <c r="A411" s="15">
        <v>49041</v>
      </c>
      <c r="B411" s="16" t="s">
        <v>118</v>
      </c>
      <c r="C411" s="16" t="s">
        <v>119</v>
      </c>
    </row>
    <row r="412" spans="1:7" ht="15" customHeight="1" x14ac:dyDescent="0.35">
      <c r="A412" s="15">
        <v>49055</v>
      </c>
      <c r="B412" s="16" t="s">
        <v>118</v>
      </c>
      <c r="C412" s="16" t="s">
        <v>121</v>
      </c>
    </row>
    <row r="413" spans="1:7" ht="15" customHeight="1" x14ac:dyDescent="0.35">
      <c r="A413" s="15">
        <v>49065</v>
      </c>
      <c r="B413" s="16" t="s">
        <v>114</v>
      </c>
      <c r="C413" s="16" t="s">
        <v>122</v>
      </c>
    </row>
    <row r="414" spans="1:7" ht="15" customHeight="1" x14ac:dyDescent="0.35">
      <c r="A414" s="15">
        <v>49103</v>
      </c>
      <c r="B414" s="16" t="s">
        <v>123</v>
      </c>
      <c r="C414" s="16" t="s">
        <v>124</v>
      </c>
    </row>
    <row r="415" spans="1:7" ht="15" customHeight="1" x14ac:dyDescent="0.35">
      <c r="A415" s="15">
        <v>49194</v>
      </c>
      <c r="B415" s="16" t="s">
        <v>123</v>
      </c>
      <c r="C415" s="16" t="s">
        <v>125</v>
      </c>
    </row>
    <row r="416" spans="1:7" ht="15" customHeight="1" x14ac:dyDescent="0.35">
      <c r="A416" s="15">
        <v>49229</v>
      </c>
      <c r="B416" s="16" t="s">
        <v>123</v>
      </c>
      <c r="C416" s="16" t="s">
        <v>126</v>
      </c>
    </row>
    <row r="417" spans="1:7" ht="15" customHeight="1" x14ac:dyDescent="0.35">
      <c r="A417" s="15">
        <v>49250</v>
      </c>
      <c r="B417" s="16" t="s">
        <v>123</v>
      </c>
      <c r="C417" s="16" t="s">
        <v>127</v>
      </c>
    </row>
    <row r="418" spans="1:7" ht="15" customHeight="1" x14ac:dyDescent="0.35">
      <c r="A418" s="15">
        <v>49263</v>
      </c>
      <c r="B418" s="16" t="s">
        <v>131</v>
      </c>
      <c r="C418" s="16" t="s">
        <v>128</v>
      </c>
    </row>
    <row r="419" spans="1:7" ht="15" customHeight="1" x14ac:dyDescent="0.35">
      <c r="A419" s="15">
        <v>49268</v>
      </c>
      <c r="B419" s="16" t="s">
        <v>114</v>
      </c>
      <c r="C419" s="16" t="s">
        <v>132</v>
      </c>
      <c r="G419" s="17"/>
    </row>
    <row r="420" spans="1:7" ht="15" customHeight="1" x14ac:dyDescent="0.35">
      <c r="A420" s="15">
        <v>49303</v>
      </c>
      <c r="B420" s="16" t="s">
        <v>114</v>
      </c>
      <c r="C420" s="16" t="s">
        <v>129</v>
      </c>
    </row>
    <row r="421" spans="1:7" ht="15" customHeight="1" x14ac:dyDescent="0.35">
      <c r="A421" s="13">
        <v>49310</v>
      </c>
      <c r="B421" s="14" t="s">
        <v>114</v>
      </c>
      <c r="C421" s="14" t="s">
        <v>115</v>
      </c>
    </row>
    <row r="422" spans="1:7" ht="15" customHeight="1" x14ac:dyDescent="0.35">
      <c r="A422" s="13">
        <v>49345</v>
      </c>
      <c r="B422" s="14" t="s">
        <v>114</v>
      </c>
      <c r="C422" s="14" t="s">
        <v>116</v>
      </c>
    </row>
    <row r="423" spans="1:7" ht="15" customHeight="1" x14ac:dyDescent="0.35">
      <c r="A423" s="13">
        <v>49346</v>
      </c>
      <c r="B423" s="14" t="s">
        <v>117</v>
      </c>
      <c r="C423" s="14" t="s">
        <v>116</v>
      </c>
    </row>
    <row r="424" spans="1:7" ht="15" customHeight="1" x14ac:dyDescent="0.35">
      <c r="A424" s="13">
        <v>49391</v>
      </c>
      <c r="B424" s="14" t="s">
        <v>118</v>
      </c>
      <c r="C424" s="14" t="s">
        <v>119</v>
      </c>
    </row>
    <row r="425" spans="1:7" ht="15" customHeight="1" x14ac:dyDescent="0.35">
      <c r="A425" s="13">
        <v>49420</v>
      </c>
      <c r="B425" s="14" t="s">
        <v>120</v>
      </c>
      <c r="C425" s="14" t="s">
        <v>121</v>
      </c>
    </row>
    <row r="426" spans="1:7" ht="15" customHeight="1" x14ac:dyDescent="0.35">
      <c r="A426" s="13">
        <v>49430</v>
      </c>
      <c r="B426" s="14" t="s">
        <v>117</v>
      </c>
      <c r="C426" s="14" t="s">
        <v>122</v>
      </c>
    </row>
    <row r="427" spans="1:7" ht="15" customHeight="1" x14ac:dyDescent="0.35">
      <c r="A427" s="13">
        <v>49453</v>
      </c>
      <c r="B427" s="14" t="s">
        <v>123</v>
      </c>
      <c r="C427" s="14" t="s">
        <v>124</v>
      </c>
    </row>
    <row r="428" spans="1:7" ht="15" customHeight="1" x14ac:dyDescent="0.35">
      <c r="A428" s="13">
        <v>49559</v>
      </c>
      <c r="B428" s="14" t="s">
        <v>118</v>
      </c>
      <c r="C428" s="14" t="s">
        <v>125</v>
      </c>
    </row>
    <row r="429" spans="1:7" ht="15" customHeight="1" x14ac:dyDescent="0.35">
      <c r="A429" s="13">
        <v>49594</v>
      </c>
      <c r="B429" s="14" t="s">
        <v>118</v>
      </c>
      <c r="C429" s="14" t="s">
        <v>126</v>
      </c>
    </row>
    <row r="430" spans="1:7" ht="15" customHeight="1" x14ac:dyDescent="0.35">
      <c r="A430" s="13">
        <v>49615</v>
      </c>
      <c r="B430" s="14" t="s">
        <v>118</v>
      </c>
      <c r="C430" s="14" t="s">
        <v>127</v>
      </c>
    </row>
    <row r="431" spans="1:7" ht="15" customHeight="1" x14ac:dyDescent="0.35">
      <c r="A431" s="13">
        <v>49628</v>
      </c>
      <c r="B431" s="14" t="s">
        <v>123</v>
      </c>
      <c r="C431" s="14" t="s">
        <v>128</v>
      </c>
    </row>
    <row r="432" spans="1:7" ht="15" customHeight="1" x14ac:dyDescent="0.35">
      <c r="A432" s="13">
        <v>49633</v>
      </c>
      <c r="B432" s="14" t="s">
        <v>117</v>
      </c>
      <c r="C432" s="14" t="s">
        <v>132</v>
      </c>
      <c r="G432" s="17"/>
    </row>
    <row r="433" spans="1:7" ht="15" customHeight="1" x14ac:dyDescent="0.35">
      <c r="A433" s="13">
        <v>49668</v>
      </c>
      <c r="B433" s="14" t="s">
        <v>117</v>
      </c>
      <c r="C433" s="14" t="s">
        <v>129</v>
      </c>
    </row>
    <row r="434" spans="1:7" ht="15" customHeight="1" x14ac:dyDescent="0.35">
      <c r="A434" s="15">
        <v>49675</v>
      </c>
      <c r="B434" s="16" t="s">
        <v>117</v>
      </c>
      <c r="C434" s="16" t="s">
        <v>115</v>
      </c>
    </row>
    <row r="435" spans="1:7" ht="15" customHeight="1" x14ac:dyDescent="0.35">
      <c r="A435" s="15">
        <v>49730</v>
      </c>
      <c r="B435" s="16" t="s">
        <v>114</v>
      </c>
      <c r="C435" s="16" t="s">
        <v>116</v>
      </c>
    </row>
    <row r="436" spans="1:7" ht="15" customHeight="1" x14ac:dyDescent="0.35">
      <c r="A436" s="15">
        <v>49731</v>
      </c>
      <c r="B436" s="16" t="s">
        <v>117</v>
      </c>
      <c r="C436" s="16" t="s">
        <v>116</v>
      </c>
    </row>
    <row r="437" spans="1:7" ht="15" customHeight="1" x14ac:dyDescent="0.35">
      <c r="A437" s="15">
        <v>49776</v>
      </c>
      <c r="B437" s="16" t="s">
        <v>118</v>
      </c>
      <c r="C437" s="16" t="s">
        <v>119</v>
      </c>
    </row>
    <row r="438" spans="1:7" ht="15" customHeight="1" x14ac:dyDescent="0.35">
      <c r="A438" s="15">
        <v>49786</v>
      </c>
      <c r="B438" s="16" t="s">
        <v>114</v>
      </c>
      <c r="C438" s="16" t="s">
        <v>121</v>
      </c>
    </row>
    <row r="439" spans="1:7" ht="15" customHeight="1" x14ac:dyDescent="0.35">
      <c r="A439" s="15">
        <v>49796</v>
      </c>
      <c r="B439" s="16" t="s">
        <v>123</v>
      </c>
      <c r="C439" s="16" t="s">
        <v>122</v>
      </c>
    </row>
    <row r="440" spans="1:7" ht="15" customHeight="1" x14ac:dyDescent="0.35">
      <c r="A440" s="15">
        <v>49838</v>
      </c>
      <c r="B440" s="16" t="s">
        <v>123</v>
      </c>
      <c r="C440" s="16" t="s">
        <v>124</v>
      </c>
    </row>
    <row r="441" spans="1:7" ht="15" customHeight="1" x14ac:dyDescent="0.35">
      <c r="A441" s="15">
        <v>49925</v>
      </c>
      <c r="B441" s="16" t="s">
        <v>130</v>
      </c>
      <c r="C441" s="16" t="s">
        <v>125</v>
      </c>
    </row>
    <row r="442" spans="1:7" ht="15" customHeight="1" x14ac:dyDescent="0.35">
      <c r="A442" s="15">
        <v>49960</v>
      </c>
      <c r="B442" s="16" t="s">
        <v>130</v>
      </c>
      <c r="C442" s="16" t="s">
        <v>126</v>
      </c>
    </row>
    <row r="443" spans="1:7" ht="15" customHeight="1" x14ac:dyDescent="0.35">
      <c r="A443" s="15">
        <v>49981</v>
      </c>
      <c r="B443" s="16" t="s">
        <v>130</v>
      </c>
      <c r="C443" s="16" t="s">
        <v>127</v>
      </c>
    </row>
    <row r="444" spans="1:7" ht="15" customHeight="1" x14ac:dyDescent="0.35">
      <c r="A444" s="15">
        <v>49994</v>
      </c>
      <c r="B444" s="16" t="s">
        <v>120</v>
      </c>
      <c r="C444" s="16" t="s">
        <v>128</v>
      </c>
    </row>
    <row r="445" spans="1:7" ht="15" customHeight="1" x14ac:dyDescent="0.35">
      <c r="A445" s="15">
        <v>49999</v>
      </c>
      <c r="B445" s="16" t="s">
        <v>123</v>
      </c>
      <c r="C445" s="16" t="s">
        <v>132</v>
      </c>
      <c r="G445" s="17"/>
    </row>
    <row r="446" spans="1:7" ht="15" customHeight="1" x14ac:dyDescent="0.35">
      <c r="A446" s="15">
        <v>50034</v>
      </c>
      <c r="B446" s="16" t="s">
        <v>123</v>
      </c>
      <c r="C446" s="16" t="s">
        <v>129</v>
      </c>
    </row>
    <row r="447" spans="1:7" ht="15" customHeight="1" x14ac:dyDescent="0.35">
      <c r="A447" s="13">
        <v>50041</v>
      </c>
      <c r="B447" s="14" t="s">
        <v>123</v>
      </c>
      <c r="C447" s="14" t="s">
        <v>115</v>
      </c>
    </row>
    <row r="448" spans="1:7" ht="15" customHeight="1" x14ac:dyDescent="0.35">
      <c r="A448" s="13">
        <v>50087</v>
      </c>
      <c r="B448" s="14" t="s">
        <v>114</v>
      </c>
      <c r="C448" s="14" t="s">
        <v>116</v>
      </c>
    </row>
    <row r="449" spans="1:7" ht="15" customHeight="1" x14ac:dyDescent="0.35">
      <c r="A449" s="13">
        <v>50088</v>
      </c>
      <c r="B449" s="14" t="s">
        <v>117</v>
      </c>
      <c r="C449" s="14" t="s">
        <v>116</v>
      </c>
    </row>
    <row r="450" spans="1:7" ht="15" customHeight="1" x14ac:dyDescent="0.35">
      <c r="A450" s="13">
        <v>50133</v>
      </c>
      <c r="B450" s="14" t="s">
        <v>118</v>
      </c>
      <c r="C450" s="14" t="s">
        <v>119</v>
      </c>
    </row>
    <row r="451" spans="1:7" ht="15" customHeight="1" x14ac:dyDescent="0.35">
      <c r="A451" s="13">
        <v>50151</v>
      </c>
      <c r="B451" s="14" t="s">
        <v>117</v>
      </c>
      <c r="C451" s="14" t="s">
        <v>121</v>
      </c>
    </row>
    <row r="452" spans="1:7" ht="15" customHeight="1" x14ac:dyDescent="0.35">
      <c r="A452" s="13">
        <v>50161</v>
      </c>
      <c r="B452" s="14" t="s">
        <v>118</v>
      </c>
      <c r="C452" s="14" t="s">
        <v>122</v>
      </c>
    </row>
    <row r="453" spans="1:7" ht="15" customHeight="1" x14ac:dyDescent="0.35">
      <c r="A453" s="13">
        <v>50195</v>
      </c>
      <c r="B453" s="14" t="s">
        <v>123</v>
      </c>
      <c r="C453" s="14" t="s">
        <v>124</v>
      </c>
    </row>
    <row r="454" spans="1:7" ht="15" customHeight="1" x14ac:dyDescent="0.35">
      <c r="A454" s="13">
        <v>50290</v>
      </c>
      <c r="B454" s="14" t="s">
        <v>114</v>
      </c>
      <c r="C454" s="14" t="s">
        <v>125</v>
      </c>
    </row>
    <row r="455" spans="1:7" ht="15" customHeight="1" x14ac:dyDescent="0.35">
      <c r="A455" s="13">
        <v>50325</v>
      </c>
      <c r="B455" s="14" t="s">
        <v>114</v>
      </c>
      <c r="C455" s="14" t="s">
        <v>126</v>
      </c>
    </row>
    <row r="456" spans="1:7" ht="15" customHeight="1" x14ac:dyDescent="0.35">
      <c r="A456" s="13">
        <v>50346</v>
      </c>
      <c r="B456" s="14" t="s">
        <v>114</v>
      </c>
      <c r="C456" s="14" t="s">
        <v>127</v>
      </c>
    </row>
    <row r="457" spans="1:7" ht="15" customHeight="1" x14ac:dyDescent="0.35">
      <c r="A457" s="13">
        <v>50359</v>
      </c>
      <c r="B457" s="14" t="s">
        <v>130</v>
      </c>
      <c r="C457" s="14" t="s">
        <v>128</v>
      </c>
    </row>
    <row r="458" spans="1:7" ht="15" customHeight="1" x14ac:dyDescent="0.35">
      <c r="A458" s="13">
        <v>50364</v>
      </c>
      <c r="B458" s="14" t="s">
        <v>118</v>
      </c>
      <c r="C458" s="14" t="s">
        <v>132</v>
      </c>
      <c r="G458" s="17"/>
    </row>
    <row r="459" spans="1:7" ht="15" customHeight="1" x14ac:dyDescent="0.35">
      <c r="A459" s="13">
        <v>50399</v>
      </c>
      <c r="B459" s="14" t="s">
        <v>118</v>
      </c>
      <c r="C459" s="14" t="s">
        <v>129</v>
      </c>
    </row>
    <row r="460" spans="1:7" ht="15" customHeight="1" x14ac:dyDescent="0.35">
      <c r="A460" s="15">
        <v>50406</v>
      </c>
      <c r="B460" s="16" t="s">
        <v>118</v>
      </c>
      <c r="C460" s="16" t="s">
        <v>115</v>
      </c>
    </row>
    <row r="461" spans="1:7" ht="15" customHeight="1" x14ac:dyDescent="0.35">
      <c r="A461" s="15">
        <v>50472</v>
      </c>
      <c r="B461" s="16" t="s">
        <v>114</v>
      </c>
      <c r="C461" s="16" t="s">
        <v>116</v>
      </c>
    </row>
    <row r="462" spans="1:7" ht="15" customHeight="1" x14ac:dyDescent="0.35">
      <c r="A462" s="15">
        <v>50473</v>
      </c>
      <c r="B462" s="16" t="s">
        <v>117</v>
      </c>
      <c r="C462" s="16" t="s">
        <v>116</v>
      </c>
    </row>
    <row r="463" spans="1:7" ht="15" customHeight="1" x14ac:dyDescent="0.35">
      <c r="A463" s="15">
        <v>50516</v>
      </c>
      <c r="B463" s="16" t="s">
        <v>131</v>
      </c>
      <c r="C463" s="16" t="s">
        <v>121</v>
      </c>
    </row>
    <row r="464" spans="1:7" ht="15" customHeight="1" x14ac:dyDescent="0.35">
      <c r="A464" s="15">
        <v>50518</v>
      </c>
      <c r="B464" s="16" t="s">
        <v>118</v>
      </c>
      <c r="C464" s="16" t="s">
        <v>119</v>
      </c>
    </row>
    <row r="465" spans="1:7" ht="15" customHeight="1" x14ac:dyDescent="0.35">
      <c r="A465" s="15">
        <v>50526</v>
      </c>
      <c r="B465" s="16" t="s">
        <v>120</v>
      </c>
      <c r="C465" s="16" t="s">
        <v>122</v>
      </c>
    </row>
    <row r="466" spans="1:7" ht="15" customHeight="1" x14ac:dyDescent="0.35">
      <c r="A466" s="15">
        <v>50580</v>
      </c>
      <c r="B466" s="16" t="s">
        <v>123</v>
      </c>
      <c r="C466" s="16" t="s">
        <v>124</v>
      </c>
    </row>
    <row r="467" spans="1:7" ht="15" customHeight="1" x14ac:dyDescent="0.35">
      <c r="A467" s="15">
        <v>50655</v>
      </c>
      <c r="B467" s="16" t="s">
        <v>117</v>
      </c>
      <c r="C467" s="16" t="s">
        <v>125</v>
      </c>
    </row>
    <row r="468" spans="1:7" ht="15" customHeight="1" x14ac:dyDescent="0.35">
      <c r="A468" s="15">
        <v>50690</v>
      </c>
      <c r="B468" s="16" t="s">
        <v>117</v>
      </c>
      <c r="C468" s="16" t="s">
        <v>126</v>
      </c>
    </row>
    <row r="469" spans="1:7" ht="15" customHeight="1" x14ac:dyDescent="0.35">
      <c r="A469" s="15">
        <v>50711</v>
      </c>
      <c r="B469" s="16" t="s">
        <v>117</v>
      </c>
      <c r="C469" s="16" t="s">
        <v>127</v>
      </c>
    </row>
    <row r="470" spans="1:7" ht="15" customHeight="1" x14ac:dyDescent="0.35">
      <c r="A470" s="15">
        <v>50724</v>
      </c>
      <c r="B470" s="16" t="s">
        <v>114</v>
      </c>
      <c r="C470" s="16" t="s">
        <v>128</v>
      </c>
    </row>
    <row r="471" spans="1:7" ht="15" customHeight="1" x14ac:dyDescent="0.35">
      <c r="A471" s="15">
        <v>50729</v>
      </c>
      <c r="B471" s="16" t="s">
        <v>120</v>
      </c>
      <c r="C471" s="16" t="s">
        <v>132</v>
      </c>
      <c r="G471" s="17"/>
    </row>
    <row r="472" spans="1:7" ht="15" customHeight="1" x14ac:dyDescent="0.35">
      <c r="A472" s="15">
        <v>50764</v>
      </c>
      <c r="B472" s="16" t="s">
        <v>120</v>
      </c>
      <c r="C472" s="16" t="s">
        <v>129</v>
      </c>
    </row>
    <row r="473" spans="1:7" ht="15" customHeight="1" x14ac:dyDescent="0.35">
      <c r="A473" s="13">
        <v>50771</v>
      </c>
      <c r="B473" s="14" t="s">
        <v>120</v>
      </c>
      <c r="C473" s="14" t="s">
        <v>115</v>
      </c>
    </row>
    <row r="474" spans="1:7" ht="15" customHeight="1" x14ac:dyDescent="0.35">
      <c r="A474" s="13">
        <v>50822</v>
      </c>
      <c r="B474" s="14" t="s">
        <v>114</v>
      </c>
      <c r="C474" s="14" t="s">
        <v>116</v>
      </c>
    </row>
    <row r="475" spans="1:7" ht="15" customHeight="1" x14ac:dyDescent="0.35">
      <c r="A475" s="13">
        <v>50823</v>
      </c>
      <c r="B475" s="14" t="s">
        <v>117</v>
      </c>
      <c r="C475" s="14" t="s">
        <v>116</v>
      </c>
    </row>
    <row r="476" spans="1:7" ht="15" customHeight="1" x14ac:dyDescent="0.35">
      <c r="A476" s="13">
        <v>50868</v>
      </c>
      <c r="B476" s="14" t="s">
        <v>118</v>
      </c>
      <c r="C476" s="14" t="s">
        <v>119</v>
      </c>
    </row>
    <row r="477" spans="1:7" ht="15" customHeight="1" x14ac:dyDescent="0.35">
      <c r="A477" s="13">
        <v>50881</v>
      </c>
      <c r="B477" s="14" t="s">
        <v>123</v>
      </c>
      <c r="C477" s="14" t="s">
        <v>121</v>
      </c>
    </row>
    <row r="478" spans="1:7" ht="15" customHeight="1" x14ac:dyDescent="0.35">
      <c r="A478" s="13">
        <v>50891</v>
      </c>
      <c r="B478" s="14" t="s">
        <v>130</v>
      </c>
      <c r="C478" s="14" t="s">
        <v>122</v>
      </c>
    </row>
    <row r="479" spans="1:7" ht="15" customHeight="1" x14ac:dyDescent="0.35">
      <c r="A479" s="13">
        <v>50930</v>
      </c>
      <c r="B479" s="14" t="s">
        <v>123</v>
      </c>
      <c r="C479" s="14" t="s">
        <v>124</v>
      </c>
    </row>
    <row r="480" spans="1:7" ht="15" customHeight="1" x14ac:dyDescent="0.35">
      <c r="A480" s="13">
        <v>51020</v>
      </c>
      <c r="B480" s="14" t="s">
        <v>131</v>
      </c>
      <c r="C480" s="14" t="s">
        <v>125</v>
      </c>
    </row>
    <row r="481" spans="1:7" ht="15" customHeight="1" x14ac:dyDescent="0.35">
      <c r="A481" s="13">
        <v>51055</v>
      </c>
      <c r="B481" s="14" t="s">
        <v>131</v>
      </c>
      <c r="C481" s="14" t="s">
        <v>126</v>
      </c>
    </row>
    <row r="482" spans="1:7" ht="15" customHeight="1" x14ac:dyDescent="0.35">
      <c r="A482" s="13">
        <v>51076</v>
      </c>
      <c r="B482" s="14" t="s">
        <v>131</v>
      </c>
      <c r="C482" s="14" t="s">
        <v>127</v>
      </c>
    </row>
    <row r="483" spans="1:7" ht="15" customHeight="1" x14ac:dyDescent="0.35">
      <c r="A483" s="13">
        <v>51089</v>
      </c>
      <c r="B483" s="14" t="s">
        <v>117</v>
      </c>
      <c r="C483" s="14" t="s">
        <v>128</v>
      </c>
    </row>
    <row r="484" spans="1:7" ht="15" customHeight="1" x14ac:dyDescent="0.35">
      <c r="A484" s="13">
        <v>51094</v>
      </c>
      <c r="B484" s="14" t="s">
        <v>130</v>
      </c>
      <c r="C484" s="14" t="s">
        <v>132</v>
      </c>
      <c r="G484" s="17"/>
    </row>
    <row r="485" spans="1:7" ht="15" customHeight="1" x14ac:dyDescent="0.35">
      <c r="A485" s="13">
        <v>51129</v>
      </c>
      <c r="B485" s="14" t="s">
        <v>130</v>
      </c>
      <c r="C485" s="14" t="s">
        <v>129</v>
      </c>
    </row>
    <row r="486" spans="1:7" ht="15" customHeight="1" x14ac:dyDescent="0.35">
      <c r="A486" s="15">
        <v>51136</v>
      </c>
      <c r="B486" s="16" t="s">
        <v>130</v>
      </c>
      <c r="C486" s="16" t="s">
        <v>115</v>
      </c>
    </row>
    <row r="487" spans="1:7" ht="15" customHeight="1" x14ac:dyDescent="0.35">
      <c r="A487" s="15">
        <v>51179</v>
      </c>
      <c r="B487" s="16" t="s">
        <v>114</v>
      </c>
      <c r="C487" s="16" t="s">
        <v>116</v>
      </c>
    </row>
    <row r="488" spans="1:7" ht="15" customHeight="1" x14ac:dyDescent="0.35">
      <c r="A488" s="15">
        <v>51180</v>
      </c>
      <c r="B488" s="16" t="s">
        <v>117</v>
      </c>
      <c r="C488" s="16" t="s">
        <v>116</v>
      </c>
    </row>
    <row r="489" spans="1:7" ht="15" customHeight="1" x14ac:dyDescent="0.35">
      <c r="A489" s="15">
        <v>51225</v>
      </c>
      <c r="B489" s="16" t="s">
        <v>118</v>
      </c>
      <c r="C489" s="16" t="s">
        <v>119</v>
      </c>
    </row>
    <row r="490" spans="1:7" ht="15" customHeight="1" x14ac:dyDescent="0.35">
      <c r="A490" s="15">
        <v>51247</v>
      </c>
      <c r="B490" s="16" t="s">
        <v>120</v>
      </c>
      <c r="C490" s="16" t="s">
        <v>121</v>
      </c>
    </row>
    <row r="491" spans="1:7" ht="15" customHeight="1" x14ac:dyDescent="0.35">
      <c r="A491" s="15">
        <v>51257</v>
      </c>
      <c r="B491" s="16" t="s">
        <v>117</v>
      </c>
      <c r="C491" s="16" t="s">
        <v>122</v>
      </c>
    </row>
    <row r="492" spans="1:7" ht="15" customHeight="1" x14ac:dyDescent="0.35">
      <c r="A492" s="15">
        <v>51287</v>
      </c>
      <c r="B492" s="16" t="s">
        <v>123</v>
      </c>
      <c r="C492" s="16" t="s">
        <v>124</v>
      </c>
    </row>
    <row r="493" spans="1:7" ht="15" customHeight="1" x14ac:dyDescent="0.35">
      <c r="A493" s="15">
        <v>51386</v>
      </c>
      <c r="B493" s="16" t="s">
        <v>118</v>
      </c>
      <c r="C493" s="16" t="s">
        <v>125</v>
      </c>
    </row>
    <row r="494" spans="1:7" ht="15" customHeight="1" x14ac:dyDescent="0.35">
      <c r="A494" s="15">
        <v>51421</v>
      </c>
      <c r="B494" s="16" t="s">
        <v>118</v>
      </c>
      <c r="C494" s="16" t="s">
        <v>126</v>
      </c>
    </row>
    <row r="495" spans="1:7" ht="15" customHeight="1" x14ac:dyDescent="0.35">
      <c r="A495" s="15">
        <v>51442</v>
      </c>
      <c r="B495" s="16" t="s">
        <v>118</v>
      </c>
      <c r="C495" s="16" t="s">
        <v>127</v>
      </c>
    </row>
    <row r="496" spans="1:7" ht="15" customHeight="1" x14ac:dyDescent="0.35">
      <c r="A496" s="15">
        <v>51455</v>
      </c>
      <c r="B496" s="16" t="s">
        <v>123</v>
      </c>
      <c r="C496" s="16" t="s">
        <v>128</v>
      </c>
    </row>
    <row r="497" spans="1:7" ht="15" customHeight="1" x14ac:dyDescent="0.35">
      <c r="A497" s="15">
        <v>51460</v>
      </c>
      <c r="B497" s="16" t="s">
        <v>117</v>
      </c>
      <c r="C497" s="16" t="s">
        <v>132</v>
      </c>
      <c r="G497" s="17"/>
    </row>
    <row r="498" spans="1:7" ht="15" customHeight="1" x14ac:dyDescent="0.35">
      <c r="A498" s="15">
        <v>51495</v>
      </c>
      <c r="B498" s="16" t="s">
        <v>117</v>
      </c>
      <c r="C498" s="16" t="s">
        <v>129</v>
      </c>
    </row>
    <row r="499" spans="1:7" ht="15" customHeight="1" x14ac:dyDescent="0.35">
      <c r="A499" s="13">
        <v>51502</v>
      </c>
      <c r="B499" s="14" t="s">
        <v>117</v>
      </c>
      <c r="C499" s="14" t="s">
        <v>115</v>
      </c>
    </row>
    <row r="500" spans="1:7" ht="15" customHeight="1" x14ac:dyDescent="0.35">
      <c r="A500" s="13">
        <v>51564</v>
      </c>
      <c r="B500" s="14" t="s">
        <v>114</v>
      </c>
      <c r="C500" s="14" t="s">
        <v>116</v>
      </c>
    </row>
    <row r="501" spans="1:7" ht="15" customHeight="1" x14ac:dyDescent="0.35">
      <c r="A501" s="13">
        <v>51565</v>
      </c>
      <c r="B501" s="14" t="s">
        <v>117</v>
      </c>
      <c r="C501" s="14" t="s">
        <v>116</v>
      </c>
    </row>
    <row r="502" spans="1:7" ht="15" customHeight="1" x14ac:dyDescent="0.35">
      <c r="A502" s="13">
        <v>51610</v>
      </c>
      <c r="B502" s="14" t="s">
        <v>118</v>
      </c>
      <c r="C502" s="14" t="s">
        <v>119</v>
      </c>
    </row>
    <row r="503" spans="1:7" ht="15" customHeight="1" x14ac:dyDescent="0.35">
      <c r="A503" s="13">
        <v>51612</v>
      </c>
      <c r="B503" s="14" t="s">
        <v>130</v>
      </c>
      <c r="C503" s="14" t="s">
        <v>121</v>
      </c>
    </row>
    <row r="504" spans="1:7" ht="15" customHeight="1" x14ac:dyDescent="0.35">
      <c r="A504" s="13">
        <v>51622</v>
      </c>
      <c r="B504" s="14" t="s">
        <v>131</v>
      </c>
      <c r="C504" s="14" t="s">
        <v>122</v>
      </c>
    </row>
    <row r="505" spans="1:7" ht="15" customHeight="1" x14ac:dyDescent="0.35">
      <c r="A505" s="13">
        <v>51672</v>
      </c>
      <c r="B505" s="14" t="s">
        <v>123</v>
      </c>
      <c r="C505" s="14" t="s">
        <v>124</v>
      </c>
    </row>
    <row r="506" spans="1:7" ht="15" customHeight="1" x14ac:dyDescent="0.35">
      <c r="A506" s="13">
        <v>51751</v>
      </c>
      <c r="B506" s="14" t="s">
        <v>120</v>
      </c>
      <c r="C506" s="14" t="s">
        <v>125</v>
      </c>
    </row>
    <row r="507" spans="1:7" ht="15" customHeight="1" x14ac:dyDescent="0.35">
      <c r="A507" s="13">
        <v>51786</v>
      </c>
      <c r="B507" s="14" t="s">
        <v>120</v>
      </c>
      <c r="C507" s="14" t="s">
        <v>126</v>
      </c>
    </row>
    <row r="508" spans="1:7" ht="15" customHeight="1" x14ac:dyDescent="0.35">
      <c r="A508" s="13">
        <v>51807</v>
      </c>
      <c r="B508" s="14" t="s">
        <v>120</v>
      </c>
      <c r="C508" s="14" t="s">
        <v>127</v>
      </c>
    </row>
    <row r="509" spans="1:7" ht="15" customHeight="1" x14ac:dyDescent="0.35">
      <c r="A509" s="13">
        <v>51820</v>
      </c>
      <c r="B509" s="14" t="s">
        <v>118</v>
      </c>
      <c r="C509" s="14" t="s">
        <v>128</v>
      </c>
    </row>
    <row r="510" spans="1:7" ht="15" customHeight="1" x14ac:dyDescent="0.35">
      <c r="A510" s="13">
        <v>51825</v>
      </c>
      <c r="B510" s="14" t="s">
        <v>131</v>
      </c>
      <c r="C510" s="14" t="s">
        <v>132</v>
      </c>
      <c r="G510" s="17"/>
    </row>
    <row r="511" spans="1:7" ht="15" customHeight="1" x14ac:dyDescent="0.35">
      <c r="A511" s="13">
        <v>51860</v>
      </c>
      <c r="B511" s="14" t="s">
        <v>131</v>
      </c>
      <c r="C511" s="14" t="s">
        <v>129</v>
      </c>
    </row>
    <row r="512" spans="1:7" ht="15" customHeight="1" x14ac:dyDescent="0.35">
      <c r="A512" s="15">
        <v>51867</v>
      </c>
      <c r="B512" s="16" t="s">
        <v>131</v>
      </c>
      <c r="C512" s="16" t="s">
        <v>115</v>
      </c>
    </row>
    <row r="513" spans="1:7" ht="15" customHeight="1" x14ac:dyDescent="0.35">
      <c r="A513" s="15">
        <v>51914</v>
      </c>
      <c r="B513" s="16" t="s">
        <v>114</v>
      </c>
      <c r="C513" s="16" t="s">
        <v>116</v>
      </c>
    </row>
    <row r="514" spans="1:7" ht="15" customHeight="1" x14ac:dyDescent="0.35">
      <c r="A514" s="15">
        <v>51915</v>
      </c>
      <c r="B514" s="16" t="s">
        <v>117</v>
      </c>
      <c r="C514" s="16" t="s">
        <v>116</v>
      </c>
    </row>
    <row r="515" spans="1:7" ht="15" customHeight="1" x14ac:dyDescent="0.35">
      <c r="A515" s="15">
        <v>51960</v>
      </c>
      <c r="B515" s="16" t="s">
        <v>118</v>
      </c>
      <c r="C515" s="16" t="s">
        <v>119</v>
      </c>
    </row>
    <row r="516" spans="1:7" ht="15" customHeight="1" x14ac:dyDescent="0.35">
      <c r="A516" s="15">
        <v>51977</v>
      </c>
      <c r="B516" s="16" t="s">
        <v>114</v>
      </c>
      <c r="C516" s="16" t="s">
        <v>121</v>
      </c>
    </row>
    <row r="517" spans="1:7" ht="15" customHeight="1" x14ac:dyDescent="0.35">
      <c r="A517" s="15">
        <v>51987</v>
      </c>
      <c r="B517" s="16" t="s">
        <v>123</v>
      </c>
      <c r="C517" s="16" t="s">
        <v>122</v>
      </c>
    </row>
    <row r="518" spans="1:7" ht="15" customHeight="1" x14ac:dyDescent="0.35">
      <c r="A518" s="15">
        <v>52022</v>
      </c>
      <c r="B518" s="16" t="s">
        <v>123</v>
      </c>
      <c r="C518" s="16" t="s">
        <v>124</v>
      </c>
    </row>
    <row r="519" spans="1:7" ht="15" customHeight="1" x14ac:dyDescent="0.35">
      <c r="A519" s="15">
        <v>52116</v>
      </c>
      <c r="B519" s="16" t="s">
        <v>130</v>
      </c>
      <c r="C519" s="16" t="s">
        <v>125</v>
      </c>
    </row>
    <row r="520" spans="1:7" ht="15" customHeight="1" x14ac:dyDescent="0.35">
      <c r="A520" s="15">
        <v>52151</v>
      </c>
      <c r="B520" s="16" t="s">
        <v>130</v>
      </c>
      <c r="C520" s="16" t="s">
        <v>126</v>
      </c>
    </row>
    <row r="521" spans="1:7" ht="15" customHeight="1" x14ac:dyDescent="0.35">
      <c r="A521" s="15">
        <v>52172</v>
      </c>
      <c r="B521" s="16" t="s">
        <v>130</v>
      </c>
      <c r="C521" s="16" t="s">
        <v>127</v>
      </c>
    </row>
    <row r="522" spans="1:7" ht="15" customHeight="1" x14ac:dyDescent="0.35">
      <c r="A522" s="15">
        <v>52185</v>
      </c>
      <c r="B522" s="16" t="s">
        <v>120</v>
      </c>
      <c r="C522" s="16" t="s">
        <v>128</v>
      </c>
    </row>
    <row r="523" spans="1:7" ht="15" customHeight="1" x14ac:dyDescent="0.35">
      <c r="A523" s="15">
        <v>52190</v>
      </c>
      <c r="B523" s="16" t="s">
        <v>123</v>
      </c>
      <c r="C523" s="16" t="s">
        <v>132</v>
      </c>
      <c r="G523" s="17"/>
    </row>
    <row r="524" spans="1:7" ht="15" customHeight="1" x14ac:dyDescent="0.35">
      <c r="A524" s="15">
        <v>52225</v>
      </c>
      <c r="B524" s="16" t="s">
        <v>123</v>
      </c>
      <c r="C524" s="16" t="s">
        <v>129</v>
      </c>
    </row>
    <row r="525" spans="1:7" ht="15" customHeight="1" x14ac:dyDescent="0.35">
      <c r="A525" s="13">
        <v>52232</v>
      </c>
      <c r="B525" s="14" t="s">
        <v>123</v>
      </c>
      <c r="C525" s="14" t="s">
        <v>115</v>
      </c>
    </row>
    <row r="526" spans="1:7" ht="15" customHeight="1" x14ac:dyDescent="0.35">
      <c r="A526" s="13">
        <v>52271</v>
      </c>
      <c r="B526" s="14" t="s">
        <v>114</v>
      </c>
      <c r="C526" s="14" t="s">
        <v>116</v>
      </c>
    </row>
    <row r="527" spans="1:7" ht="15" customHeight="1" x14ac:dyDescent="0.35">
      <c r="A527" s="13">
        <v>52272</v>
      </c>
      <c r="B527" s="14" t="s">
        <v>117</v>
      </c>
      <c r="C527" s="14" t="s">
        <v>116</v>
      </c>
    </row>
    <row r="528" spans="1:7" ht="15" customHeight="1" x14ac:dyDescent="0.35">
      <c r="A528" s="13">
        <v>52317</v>
      </c>
      <c r="B528" s="14" t="s">
        <v>118</v>
      </c>
      <c r="C528" s="14" t="s">
        <v>119</v>
      </c>
    </row>
    <row r="529" spans="1:7" ht="15" customHeight="1" x14ac:dyDescent="0.35">
      <c r="A529" s="13">
        <v>52342</v>
      </c>
      <c r="B529" s="14" t="s">
        <v>117</v>
      </c>
      <c r="C529" s="14" t="s">
        <v>121</v>
      </c>
    </row>
    <row r="530" spans="1:7" ht="15" customHeight="1" x14ac:dyDescent="0.35">
      <c r="A530" s="13">
        <v>52352</v>
      </c>
      <c r="B530" s="14" t="s">
        <v>118</v>
      </c>
      <c r="C530" s="14" t="s">
        <v>122</v>
      </c>
    </row>
    <row r="531" spans="1:7" ht="15" customHeight="1" x14ac:dyDescent="0.35">
      <c r="A531" s="13">
        <v>52379</v>
      </c>
      <c r="B531" s="14" t="s">
        <v>123</v>
      </c>
      <c r="C531" s="14" t="s">
        <v>124</v>
      </c>
    </row>
    <row r="532" spans="1:7" ht="15" customHeight="1" x14ac:dyDescent="0.35">
      <c r="A532" s="13">
        <v>52481</v>
      </c>
      <c r="B532" s="14" t="s">
        <v>114</v>
      </c>
      <c r="C532" s="14" t="s">
        <v>125</v>
      </c>
    </row>
    <row r="533" spans="1:7" ht="15" customHeight="1" x14ac:dyDescent="0.35">
      <c r="A533" s="13">
        <v>52516</v>
      </c>
      <c r="B533" s="14" t="s">
        <v>114</v>
      </c>
      <c r="C533" s="14" t="s">
        <v>126</v>
      </c>
    </row>
    <row r="534" spans="1:7" ht="15" customHeight="1" x14ac:dyDescent="0.35">
      <c r="A534" s="13">
        <v>52537</v>
      </c>
      <c r="B534" s="14" t="s">
        <v>114</v>
      </c>
      <c r="C534" s="14" t="s">
        <v>127</v>
      </c>
    </row>
    <row r="535" spans="1:7" ht="15" customHeight="1" x14ac:dyDescent="0.35">
      <c r="A535" s="13">
        <v>52550</v>
      </c>
      <c r="B535" s="14" t="s">
        <v>130</v>
      </c>
      <c r="C535" s="14" t="s">
        <v>128</v>
      </c>
    </row>
    <row r="536" spans="1:7" ht="15" customHeight="1" x14ac:dyDescent="0.35">
      <c r="A536" s="13">
        <v>52555</v>
      </c>
      <c r="B536" s="14" t="s">
        <v>118</v>
      </c>
      <c r="C536" s="14" t="s">
        <v>132</v>
      </c>
      <c r="G536" s="17"/>
    </row>
    <row r="537" spans="1:7" ht="15" customHeight="1" x14ac:dyDescent="0.35">
      <c r="A537" s="13">
        <v>52590</v>
      </c>
      <c r="B537" s="14" t="s">
        <v>118</v>
      </c>
      <c r="C537" s="14" t="s">
        <v>129</v>
      </c>
    </row>
    <row r="538" spans="1:7" ht="15" customHeight="1" x14ac:dyDescent="0.35">
      <c r="A538" s="15">
        <v>52597</v>
      </c>
      <c r="B538" s="16" t="s">
        <v>118</v>
      </c>
      <c r="C538" s="16" t="s">
        <v>115</v>
      </c>
    </row>
    <row r="539" spans="1:7" ht="15" customHeight="1" x14ac:dyDescent="0.35">
      <c r="A539" s="15">
        <v>52656</v>
      </c>
      <c r="B539" s="16" t="s">
        <v>114</v>
      </c>
      <c r="C539" s="16" t="s">
        <v>116</v>
      </c>
    </row>
    <row r="540" spans="1:7" ht="15" customHeight="1" x14ac:dyDescent="0.35">
      <c r="A540" s="15">
        <v>52657</v>
      </c>
      <c r="B540" s="16" t="s">
        <v>117</v>
      </c>
      <c r="C540" s="16" t="s">
        <v>116</v>
      </c>
    </row>
    <row r="541" spans="1:7" ht="15" customHeight="1" x14ac:dyDescent="0.35">
      <c r="A541" s="15">
        <v>52702</v>
      </c>
      <c r="B541" s="16" t="s">
        <v>118</v>
      </c>
      <c r="C541" s="16" t="s">
        <v>119</v>
      </c>
    </row>
    <row r="542" spans="1:7" ht="15" customHeight="1" x14ac:dyDescent="0.35">
      <c r="A542" s="15">
        <v>52708</v>
      </c>
      <c r="B542" s="16" t="s">
        <v>123</v>
      </c>
      <c r="C542" s="16" t="s">
        <v>121</v>
      </c>
    </row>
    <row r="543" spans="1:7" ht="15" customHeight="1" x14ac:dyDescent="0.35">
      <c r="A543" s="15">
        <v>52718</v>
      </c>
      <c r="B543" s="16" t="s">
        <v>130</v>
      </c>
      <c r="C543" s="16" t="s">
        <v>122</v>
      </c>
    </row>
    <row r="544" spans="1:7" ht="15" customHeight="1" x14ac:dyDescent="0.35">
      <c r="A544" s="15">
        <v>52764</v>
      </c>
      <c r="B544" s="16" t="s">
        <v>123</v>
      </c>
      <c r="C544" s="16" t="s">
        <v>124</v>
      </c>
    </row>
    <row r="545" spans="1:7" ht="15" customHeight="1" x14ac:dyDescent="0.35">
      <c r="A545" s="15">
        <v>52847</v>
      </c>
      <c r="B545" s="16" t="s">
        <v>131</v>
      </c>
      <c r="C545" s="16" t="s">
        <v>125</v>
      </c>
    </row>
    <row r="546" spans="1:7" ht="15" customHeight="1" x14ac:dyDescent="0.35">
      <c r="A546" s="15">
        <v>52882</v>
      </c>
      <c r="B546" s="16" t="s">
        <v>131</v>
      </c>
      <c r="C546" s="16" t="s">
        <v>126</v>
      </c>
    </row>
    <row r="547" spans="1:7" ht="15" customHeight="1" x14ac:dyDescent="0.35">
      <c r="A547" s="15">
        <v>52903</v>
      </c>
      <c r="B547" s="16" t="s">
        <v>131</v>
      </c>
      <c r="C547" s="16" t="s">
        <v>127</v>
      </c>
    </row>
    <row r="548" spans="1:7" ht="15" customHeight="1" x14ac:dyDescent="0.35">
      <c r="A548" s="15">
        <v>52916</v>
      </c>
      <c r="B548" s="16" t="s">
        <v>117</v>
      </c>
      <c r="C548" s="16" t="s">
        <v>128</v>
      </c>
    </row>
    <row r="549" spans="1:7" ht="15" customHeight="1" x14ac:dyDescent="0.35">
      <c r="A549" s="15">
        <v>52921</v>
      </c>
      <c r="B549" s="16" t="s">
        <v>130</v>
      </c>
      <c r="C549" s="16" t="s">
        <v>132</v>
      </c>
      <c r="G549" s="17"/>
    </row>
    <row r="550" spans="1:7" ht="15" customHeight="1" x14ac:dyDescent="0.35">
      <c r="A550" s="15">
        <v>52956</v>
      </c>
      <c r="B550" s="16" t="s">
        <v>130</v>
      </c>
      <c r="C550" s="16" t="s">
        <v>129</v>
      </c>
    </row>
    <row r="551" spans="1:7" ht="15" customHeight="1" x14ac:dyDescent="0.35">
      <c r="A551" s="13">
        <v>52963</v>
      </c>
      <c r="B551" s="14" t="s">
        <v>130</v>
      </c>
      <c r="C551" s="14" t="s">
        <v>115</v>
      </c>
    </row>
    <row r="552" spans="1:7" ht="15" customHeight="1" x14ac:dyDescent="0.35">
      <c r="A552" s="13">
        <v>53013</v>
      </c>
      <c r="B552" s="14" t="s">
        <v>114</v>
      </c>
      <c r="C552" s="14" t="s">
        <v>116</v>
      </c>
    </row>
    <row r="553" spans="1:7" ht="15" customHeight="1" x14ac:dyDescent="0.35">
      <c r="A553" s="13">
        <v>53014</v>
      </c>
      <c r="B553" s="14" t="s">
        <v>117</v>
      </c>
      <c r="C553" s="14" t="s">
        <v>116</v>
      </c>
    </row>
    <row r="554" spans="1:7" ht="15" customHeight="1" x14ac:dyDescent="0.35">
      <c r="A554" s="13">
        <v>53059</v>
      </c>
      <c r="B554" s="14" t="s">
        <v>118</v>
      </c>
      <c r="C554" s="14" t="s">
        <v>119</v>
      </c>
    </row>
    <row r="555" spans="1:7" ht="15" customHeight="1" x14ac:dyDescent="0.35">
      <c r="A555" s="13">
        <v>53073</v>
      </c>
      <c r="B555" s="14" t="s">
        <v>118</v>
      </c>
      <c r="C555" s="14" t="s">
        <v>121</v>
      </c>
    </row>
    <row r="556" spans="1:7" ht="15" customHeight="1" x14ac:dyDescent="0.35">
      <c r="A556" s="13">
        <v>53083</v>
      </c>
      <c r="B556" s="14" t="s">
        <v>114</v>
      </c>
      <c r="C556" s="14" t="s">
        <v>122</v>
      </c>
    </row>
    <row r="557" spans="1:7" ht="15" customHeight="1" x14ac:dyDescent="0.35">
      <c r="A557" s="13">
        <v>53121</v>
      </c>
      <c r="B557" s="14" t="s">
        <v>123</v>
      </c>
      <c r="C557" s="14" t="s">
        <v>124</v>
      </c>
    </row>
    <row r="558" spans="1:7" ht="15" customHeight="1" x14ac:dyDescent="0.35">
      <c r="A558" s="13">
        <v>53212</v>
      </c>
      <c r="B558" s="14" t="s">
        <v>123</v>
      </c>
      <c r="C558" s="14" t="s">
        <v>125</v>
      </c>
    </row>
    <row r="559" spans="1:7" ht="15" customHeight="1" x14ac:dyDescent="0.35">
      <c r="A559" s="13">
        <v>53247</v>
      </c>
      <c r="B559" s="14" t="s">
        <v>123</v>
      </c>
      <c r="C559" s="14" t="s">
        <v>126</v>
      </c>
    </row>
    <row r="560" spans="1:7" ht="15" customHeight="1" x14ac:dyDescent="0.35">
      <c r="A560" s="13">
        <v>53268</v>
      </c>
      <c r="B560" s="14" t="s">
        <v>123</v>
      </c>
      <c r="C560" s="14" t="s">
        <v>127</v>
      </c>
    </row>
    <row r="561" spans="1:7" ht="15" customHeight="1" x14ac:dyDescent="0.35">
      <c r="A561" s="13">
        <v>53281</v>
      </c>
      <c r="B561" s="14" t="s">
        <v>131</v>
      </c>
      <c r="C561" s="14" t="s">
        <v>128</v>
      </c>
    </row>
    <row r="562" spans="1:7" ht="15" customHeight="1" x14ac:dyDescent="0.35">
      <c r="A562" s="13">
        <v>53286</v>
      </c>
      <c r="B562" s="14" t="s">
        <v>114</v>
      </c>
      <c r="C562" s="14" t="s">
        <v>132</v>
      </c>
      <c r="G562" s="17"/>
    </row>
    <row r="563" spans="1:7" ht="15" customHeight="1" x14ac:dyDescent="0.35">
      <c r="A563" s="13">
        <v>53321</v>
      </c>
      <c r="B563" s="14" t="s">
        <v>114</v>
      </c>
      <c r="C563" s="14" t="s">
        <v>129</v>
      </c>
    </row>
    <row r="564" spans="1:7" ht="15" customHeight="1" x14ac:dyDescent="0.35">
      <c r="A564" s="15">
        <v>53328</v>
      </c>
      <c r="B564" s="16" t="s">
        <v>114</v>
      </c>
      <c r="C564" s="16" t="s">
        <v>115</v>
      </c>
    </row>
    <row r="565" spans="1:7" ht="15" customHeight="1" x14ac:dyDescent="0.35">
      <c r="A565" s="15">
        <v>53363</v>
      </c>
      <c r="B565" s="16" t="s">
        <v>114</v>
      </c>
      <c r="C565" s="16" t="s">
        <v>116</v>
      </c>
    </row>
    <row r="566" spans="1:7" ht="15" customHeight="1" x14ac:dyDescent="0.35">
      <c r="A566" s="15">
        <v>53364</v>
      </c>
      <c r="B566" s="16" t="s">
        <v>117</v>
      </c>
      <c r="C566" s="16" t="s">
        <v>116</v>
      </c>
    </row>
    <row r="567" spans="1:7" ht="15" customHeight="1" x14ac:dyDescent="0.35">
      <c r="A567" s="15">
        <v>53409</v>
      </c>
      <c r="B567" s="16" t="s">
        <v>118</v>
      </c>
      <c r="C567" s="16" t="s">
        <v>119</v>
      </c>
    </row>
    <row r="568" spans="1:7" ht="15" customHeight="1" x14ac:dyDescent="0.35">
      <c r="A568" s="15">
        <v>53438</v>
      </c>
      <c r="B568" s="16" t="s">
        <v>120</v>
      </c>
      <c r="C568" s="16" t="s">
        <v>121</v>
      </c>
    </row>
    <row r="569" spans="1:7" ht="15" customHeight="1" x14ac:dyDescent="0.35">
      <c r="A569" s="15">
        <v>53448</v>
      </c>
      <c r="B569" s="16" t="s">
        <v>117</v>
      </c>
      <c r="C569" s="16" t="s">
        <v>122</v>
      </c>
    </row>
    <row r="570" spans="1:7" ht="15" customHeight="1" x14ac:dyDescent="0.35">
      <c r="A570" s="15">
        <v>53471</v>
      </c>
      <c r="B570" s="16" t="s">
        <v>123</v>
      </c>
      <c r="C570" s="16" t="s">
        <v>124</v>
      </c>
    </row>
    <row r="571" spans="1:7" ht="15" customHeight="1" x14ac:dyDescent="0.35">
      <c r="A571" s="15">
        <v>53577</v>
      </c>
      <c r="B571" s="16" t="s">
        <v>118</v>
      </c>
      <c r="C571" s="16" t="s">
        <v>125</v>
      </c>
    </row>
    <row r="572" spans="1:7" ht="15" customHeight="1" x14ac:dyDescent="0.35">
      <c r="A572" s="15">
        <v>53612</v>
      </c>
      <c r="B572" s="16" t="s">
        <v>118</v>
      </c>
      <c r="C572" s="16" t="s">
        <v>126</v>
      </c>
    </row>
    <row r="573" spans="1:7" ht="15" customHeight="1" x14ac:dyDescent="0.35">
      <c r="A573" s="15">
        <v>53633</v>
      </c>
      <c r="B573" s="16" t="s">
        <v>118</v>
      </c>
      <c r="C573" s="16" t="s">
        <v>127</v>
      </c>
    </row>
    <row r="574" spans="1:7" ht="15" customHeight="1" x14ac:dyDescent="0.35">
      <c r="A574" s="15">
        <v>53646</v>
      </c>
      <c r="B574" s="16" t="s">
        <v>123</v>
      </c>
      <c r="C574" s="16" t="s">
        <v>128</v>
      </c>
    </row>
    <row r="575" spans="1:7" ht="15" customHeight="1" x14ac:dyDescent="0.35">
      <c r="A575" s="15">
        <v>53651</v>
      </c>
      <c r="B575" s="16" t="s">
        <v>117</v>
      </c>
      <c r="C575" s="16" t="s">
        <v>132</v>
      </c>
      <c r="G575" s="17"/>
    </row>
    <row r="576" spans="1:7" ht="15" customHeight="1" x14ac:dyDescent="0.35">
      <c r="A576" s="15">
        <v>53686</v>
      </c>
      <c r="B576" s="16" t="s">
        <v>117</v>
      </c>
      <c r="C576" s="16" t="s">
        <v>129</v>
      </c>
    </row>
    <row r="577" spans="1:7" ht="15" customHeight="1" x14ac:dyDescent="0.35">
      <c r="A577" s="13">
        <v>53693</v>
      </c>
      <c r="B577" s="14" t="s">
        <v>117</v>
      </c>
      <c r="C577" s="14" t="s">
        <v>115</v>
      </c>
    </row>
    <row r="578" spans="1:7" ht="15" customHeight="1" x14ac:dyDescent="0.35">
      <c r="A578" s="13">
        <v>53748</v>
      </c>
      <c r="B578" s="14" t="s">
        <v>114</v>
      </c>
      <c r="C578" s="14" t="s">
        <v>116</v>
      </c>
    </row>
    <row r="579" spans="1:7" ht="15" customHeight="1" x14ac:dyDescent="0.35">
      <c r="A579" s="13">
        <v>53749</v>
      </c>
      <c r="B579" s="14" t="s">
        <v>117</v>
      </c>
      <c r="C579" s="14" t="s">
        <v>116</v>
      </c>
    </row>
    <row r="580" spans="1:7" ht="15" customHeight="1" x14ac:dyDescent="0.35">
      <c r="A580" s="13">
        <v>53794</v>
      </c>
      <c r="B580" s="14" t="s">
        <v>118</v>
      </c>
      <c r="C580" s="14" t="s">
        <v>119</v>
      </c>
    </row>
    <row r="581" spans="1:7" ht="15" customHeight="1" x14ac:dyDescent="0.35">
      <c r="A581" s="13">
        <v>53803</v>
      </c>
      <c r="B581" s="14" t="s">
        <v>130</v>
      </c>
      <c r="C581" s="14" t="s">
        <v>121</v>
      </c>
    </row>
    <row r="582" spans="1:7" ht="15" customHeight="1" x14ac:dyDescent="0.35">
      <c r="A582" s="13">
        <v>53813</v>
      </c>
      <c r="B582" s="14" t="s">
        <v>131</v>
      </c>
      <c r="C582" s="14" t="s">
        <v>122</v>
      </c>
    </row>
    <row r="583" spans="1:7" ht="15" customHeight="1" x14ac:dyDescent="0.35">
      <c r="A583" s="13">
        <v>53856</v>
      </c>
      <c r="B583" s="14" t="s">
        <v>123</v>
      </c>
      <c r="C583" s="14" t="s">
        <v>124</v>
      </c>
    </row>
    <row r="584" spans="1:7" ht="15" customHeight="1" x14ac:dyDescent="0.35">
      <c r="A584" s="13">
        <v>53942</v>
      </c>
      <c r="B584" s="14" t="s">
        <v>120</v>
      </c>
      <c r="C584" s="14" t="s">
        <v>125</v>
      </c>
    </row>
    <row r="585" spans="1:7" ht="15" customHeight="1" x14ac:dyDescent="0.35">
      <c r="A585" s="13">
        <v>53977</v>
      </c>
      <c r="B585" s="14" t="s">
        <v>120</v>
      </c>
      <c r="C585" s="14" t="s">
        <v>126</v>
      </c>
    </row>
    <row r="586" spans="1:7" ht="15" customHeight="1" x14ac:dyDescent="0.35">
      <c r="A586" s="13">
        <v>53998</v>
      </c>
      <c r="B586" s="14" t="s">
        <v>120</v>
      </c>
      <c r="C586" s="14" t="s">
        <v>127</v>
      </c>
    </row>
    <row r="587" spans="1:7" ht="15" customHeight="1" x14ac:dyDescent="0.35">
      <c r="A587" s="13">
        <v>54011</v>
      </c>
      <c r="B587" s="14" t="s">
        <v>118</v>
      </c>
      <c r="C587" s="14" t="s">
        <v>128</v>
      </c>
    </row>
    <row r="588" spans="1:7" ht="15" customHeight="1" x14ac:dyDescent="0.35">
      <c r="A588" s="13">
        <v>54016</v>
      </c>
      <c r="B588" s="14" t="s">
        <v>131</v>
      </c>
      <c r="C588" s="14" t="s">
        <v>132</v>
      </c>
      <c r="G588" s="17"/>
    </row>
    <row r="589" spans="1:7" ht="15" customHeight="1" x14ac:dyDescent="0.35">
      <c r="A589" s="13">
        <v>54051</v>
      </c>
      <c r="B589" s="14" t="s">
        <v>131</v>
      </c>
      <c r="C589" s="14" t="s">
        <v>129</v>
      </c>
    </row>
    <row r="590" spans="1:7" ht="15" customHeight="1" x14ac:dyDescent="0.35">
      <c r="A590" s="15">
        <v>54058</v>
      </c>
      <c r="B590" s="16" t="s">
        <v>131</v>
      </c>
      <c r="C590" s="16" t="s">
        <v>115</v>
      </c>
    </row>
    <row r="591" spans="1:7" ht="15" customHeight="1" x14ac:dyDescent="0.35">
      <c r="A591" s="15">
        <v>54105</v>
      </c>
      <c r="B591" s="16" t="s">
        <v>114</v>
      </c>
      <c r="C591" s="16" t="s">
        <v>116</v>
      </c>
    </row>
    <row r="592" spans="1:7" ht="15" customHeight="1" x14ac:dyDescent="0.35">
      <c r="A592" s="15">
        <v>54106</v>
      </c>
      <c r="B592" s="16" t="s">
        <v>117</v>
      </c>
      <c r="C592" s="16" t="s">
        <v>116</v>
      </c>
    </row>
    <row r="593" spans="1:7" ht="15" customHeight="1" x14ac:dyDescent="0.35">
      <c r="A593" s="15">
        <v>54151</v>
      </c>
      <c r="B593" s="16" t="s">
        <v>118</v>
      </c>
      <c r="C593" s="16" t="s">
        <v>119</v>
      </c>
    </row>
    <row r="594" spans="1:7" ht="15" customHeight="1" x14ac:dyDescent="0.35">
      <c r="A594" s="15">
        <v>54169</v>
      </c>
      <c r="B594" s="16" t="s">
        <v>117</v>
      </c>
      <c r="C594" s="16" t="s">
        <v>121</v>
      </c>
    </row>
    <row r="595" spans="1:7" ht="15" customHeight="1" x14ac:dyDescent="0.35">
      <c r="A595" s="15">
        <v>54179</v>
      </c>
      <c r="B595" s="16" t="s">
        <v>118</v>
      </c>
      <c r="C595" s="16" t="s">
        <v>122</v>
      </c>
    </row>
    <row r="596" spans="1:7" ht="15" customHeight="1" x14ac:dyDescent="0.35">
      <c r="A596" s="15">
        <v>54213</v>
      </c>
      <c r="B596" s="16" t="s">
        <v>123</v>
      </c>
      <c r="C596" s="16" t="s">
        <v>124</v>
      </c>
    </row>
    <row r="597" spans="1:7" ht="15" customHeight="1" x14ac:dyDescent="0.35">
      <c r="A597" s="15">
        <v>54308</v>
      </c>
      <c r="B597" s="16" t="s">
        <v>114</v>
      </c>
      <c r="C597" s="16" t="s">
        <v>125</v>
      </c>
    </row>
    <row r="598" spans="1:7" ht="15" customHeight="1" x14ac:dyDescent="0.35">
      <c r="A598" s="15">
        <v>54343</v>
      </c>
      <c r="B598" s="16" t="s">
        <v>114</v>
      </c>
      <c r="C598" s="16" t="s">
        <v>126</v>
      </c>
    </row>
    <row r="599" spans="1:7" ht="15" customHeight="1" x14ac:dyDescent="0.35">
      <c r="A599" s="15">
        <v>54364</v>
      </c>
      <c r="B599" s="16" t="s">
        <v>114</v>
      </c>
      <c r="C599" s="16" t="s">
        <v>127</v>
      </c>
    </row>
    <row r="600" spans="1:7" ht="15" customHeight="1" x14ac:dyDescent="0.35">
      <c r="A600" s="15">
        <v>54377</v>
      </c>
      <c r="B600" s="16" t="s">
        <v>130</v>
      </c>
      <c r="C600" s="16" t="s">
        <v>128</v>
      </c>
    </row>
    <row r="601" spans="1:7" ht="15" customHeight="1" x14ac:dyDescent="0.35">
      <c r="A601" s="15">
        <v>54382</v>
      </c>
      <c r="B601" s="16" t="s">
        <v>118</v>
      </c>
      <c r="C601" s="16" t="s">
        <v>132</v>
      </c>
      <c r="G601" s="17"/>
    </row>
    <row r="602" spans="1:7" ht="15" customHeight="1" x14ac:dyDescent="0.35">
      <c r="A602" s="15">
        <v>54417</v>
      </c>
      <c r="B602" s="16" t="s">
        <v>118</v>
      </c>
      <c r="C602" s="16" t="s">
        <v>129</v>
      </c>
    </row>
    <row r="603" spans="1:7" ht="15" customHeight="1" x14ac:dyDescent="0.35">
      <c r="A603" s="13">
        <v>54424</v>
      </c>
      <c r="B603" s="14" t="s">
        <v>118</v>
      </c>
      <c r="C603" s="14" t="s">
        <v>115</v>
      </c>
    </row>
    <row r="604" spans="1:7" ht="15" customHeight="1" x14ac:dyDescent="0.35">
      <c r="A604" s="13">
        <v>54483</v>
      </c>
      <c r="B604" s="14" t="s">
        <v>114</v>
      </c>
      <c r="C604" s="14" t="s">
        <v>116</v>
      </c>
    </row>
    <row r="605" spans="1:7" ht="15" customHeight="1" x14ac:dyDescent="0.35">
      <c r="A605" s="13">
        <v>54484</v>
      </c>
      <c r="B605" s="14" t="s">
        <v>117</v>
      </c>
      <c r="C605" s="14" t="s">
        <v>116</v>
      </c>
    </row>
    <row r="606" spans="1:7" ht="15" customHeight="1" x14ac:dyDescent="0.35">
      <c r="A606" s="13">
        <v>54529</v>
      </c>
      <c r="B606" s="14" t="s">
        <v>118</v>
      </c>
      <c r="C606" s="14" t="s">
        <v>119</v>
      </c>
    </row>
    <row r="607" spans="1:7" ht="15" customHeight="1" x14ac:dyDescent="0.35">
      <c r="A607" s="13">
        <v>54534</v>
      </c>
      <c r="B607" s="14" t="s">
        <v>131</v>
      </c>
      <c r="C607" s="14" t="s">
        <v>121</v>
      </c>
    </row>
    <row r="608" spans="1:7" ht="15" customHeight="1" x14ac:dyDescent="0.35">
      <c r="A608" s="13">
        <v>54544</v>
      </c>
      <c r="B608" s="14" t="s">
        <v>120</v>
      </c>
      <c r="C608" s="14" t="s">
        <v>122</v>
      </c>
    </row>
    <row r="609" spans="1:7" ht="15" customHeight="1" x14ac:dyDescent="0.35">
      <c r="A609" s="13">
        <v>54591</v>
      </c>
      <c r="B609" s="14" t="s">
        <v>123</v>
      </c>
      <c r="C609" s="14" t="s">
        <v>124</v>
      </c>
    </row>
    <row r="610" spans="1:7" ht="15" customHeight="1" x14ac:dyDescent="0.35">
      <c r="A610" s="13">
        <v>54673</v>
      </c>
      <c r="B610" s="14" t="s">
        <v>117</v>
      </c>
      <c r="C610" s="14" t="s">
        <v>125</v>
      </c>
    </row>
    <row r="611" spans="1:7" ht="15" customHeight="1" x14ac:dyDescent="0.35">
      <c r="A611" s="13">
        <v>54708</v>
      </c>
      <c r="B611" s="14" t="s">
        <v>117</v>
      </c>
      <c r="C611" s="14" t="s">
        <v>126</v>
      </c>
    </row>
    <row r="612" spans="1:7" ht="15" customHeight="1" x14ac:dyDescent="0.35">
      <c r="A612" s="13">
        <v>54729</v>
      </c>
      <c r="B612" s="14" t="s">
        <v>117</v>
      </c>
      <c r="C612" s="14" t="s">
        <v>127</v>
      </c>
    </row>
    <row r="613" spans="1:7" ht="15" customHeight="1" x14ac:dyDescent="0.35">
      <c r="A613" s="13">
        <v>54742</v>
      </c>
      <c r="B613" s="14" t="s">
        <v>114</v>
      </c>
      <c r="C613" s="14" t="s">
        <v>128</v>
      </c>
    </row>
    <row r="614" spans="1:7" ht="15" customHeight="1" x14ac:dyDescent="0.35">
      <c r="A614" s="13">
        <v>54747</v>
      </c>
      <c r="B614" s="14" t="s">
        <v>120</v>
      </c>
      <c r="C614" s="14" t="s">
        <v>132</v>
      </c>
      <c r="G614" s="17"/>
    </row>
    <row r="615" spans="1:7" ht="15" customHeight="1" x14ac:dyDescent="0.35">
      <c r="A615" s="13">
        <v>54782</v>
      </c>
      <c r="B615" s="14" t="s">
        <v>120</v>
      </c>
      <c r="C615" s="14" t="s">
        <v>129</v>
      </c>
    </row>
    <row r="616" spans="1:7" ht="15" customHeight="1" x14ac:dyDescent="0.35">
      <c r="A616" s="15">
        <v>54789</v>
      </c>
      <c r="B616" s="16" t="s">
        <v>120</v>
      </c>
      <c r="C616" s="16" t="s">
        <v>115</v>
      </c>
    </row>
    <row r="617" spans="1:7" ht="15" customHeight="1" x14ac:dyDescent="0.35">
      <c r="A617" s="15">
        <v>54840</v>
      </c>
      <c r="B617" s="16" t="s">
        <v>114</v>
      </c>
      <c r="C617" s="16" t="s">
        <v>116</v>
      </c>
    </row>
    <row r="618" spans="1:7" ht="15" customHeight="1" x14ac:dyDescent="0.35">
      <c r="A618" s="15">
        <v>54841</v>
      </c>
      <c r="B618" s="16" t="s">
        <v>117</v>
      </c>
      <c r="C618" s="16" t="s">
        <v>116</v>
      </c>
    </row>
    <row r="619" spans="1:7" ht="15" customHeight="1" x14ac:dyDescent="0.35">
      <c r="A619" s="15">
        <v>54886</v>
      </c>
      <c r="B619" s="16" t="s">
        <v>118</v>
      </c>
      <c r="C619" s="16" t="s">
        <v>119</v>
      </c>
    </row>
    <row r="620" spans="1:7" ht="15" customHeight="1" x14ac:dyDescent="0.35">
      <c r="A620" s="15">
        <v>54899</v>
      </c>
      <c r="B620" s="16" t="s">
        <v>123</v>
      </c>
      <c r="C620" s="16" t="s">
        <v>121</v>
      </c>
    </row>
    <row r="621" spans="1:7" ht="15" customHeight="1" x14ac:dyDescent="0.35">
      <c r="A621" s="15">
        <v>54909</v>
      </c>
      <c r="B621" s="16" t="s">
        <v>130</v>
      </c>
      <c r="C621" s="16" t="s">
        <v>122</v>
      </c>
    </row>
    <row r="622" spans="1:7" ht="15" customHeight="1" x14ac:dyDescent="0.35">
      <c r="A622" s="15">
        <v>54948</v>
      </c>
      <c r="B622" s="16" t="s">
        <v>123</v>
      </c>
      <c r="C622" s="16" t="s">
        <v>124</v>
      </c>
    </row>
    <row r="623" spans="1:7" ht="15" customHeight="1" x14ac:dyDescent="0.35">
      <c r="A623" s="15">
        <v>55038</v>
      </c>
      <c r="B623" s="16" t="s">
        <v>131</v>
      </c>
      <c r="C623" s="16" t="s">
        <v>125</v>
      </c>
    </row>
    <row r="624" spans="1:7" ht="15" customHeight="1" x14ac:dyDescent="0.35">
      <c r="A624" s="15">
        <v>55073</v>
      </c>
      <c r="B624" s="16" t="s">
        <v>131</v>
      </c>
      <c r="C624" s="16" t="s">
        <v>126</v>
      </c>
    </row>
    <row r="625" spans="1:7" ht="15" customHeight="1" x14ac:dyDescent="0.35">
      <c r="A625" s="15">
        <v>55094</v>
      </c>
      <c r="B625" s="16" t="s">
        <v>131</v>
      </c>
      <c r="C625" s="16" t="s">
        <v>127</v>
      </c>
    </row>
    <row r="626" spans="1:7" ht="15" customHeight="1" x14ac:dyDescent="0.35">
      <c r="A626" s="15">
        <v>55107</v>
      </c>
      <c r="B626" s="16" t="s">
        <v>117</v>
      </c>
      <c r="C626" s="16" t="s">
        <v>128</v>
      </c>
    </row>
    <row r="627" spans="1:7" ht="15" customHeight="1" x14ac:dyDescent="0.35">
      <c r="A627" s="15">
        <v>55112</v>
      </c>
      <c r="B627" s="16" t="s">
        <v>130</v>
      </c>
      <c r="C627" s="16" t="s">
        <v>132</v>
      </c>
      <c r="G627" s="17"/>
    </row>
    <row r="628" spans="1:7" ht="15" customHeight="1" x14ac:dyDescent="0.35">
      <c r="A628" s="15">
        <v>55147</v>
      </c>
      <c r="B628" s="16" t="s">
        <v>130</v>
      </c>
      <c r="C628" s="16" t="s">
        <v>129</v>
      </c>
    </row>
    <row r="629" spans="1:7" ht="15" customHeight="1" x14ac:dyDescent="0.35">
      <c r="A629" s="13">
        <v>55154</v>
      </c>
      <c r="B629" s="14" t="s">
        <v>130</v>
      </c>
      <c r="C629" s="14" t="s">
        <v>115</v>
      </c>
    </row>
    <row r="630" spans="1:7" ht="15" customHeight="1" x14ac:dyDescent="0.35">
      <c r="A630" s="13">
        <v>55197</v>
      </c>
      <c r="B630" s="14" t="s">
        <v>114</v>
      </c>
      <c r="C630" s="14" t="s">
        <v>116</v>
      </c>
    </row>
    <row r="631" spans="1:7" ht="15" customHeight="1" x14ac:dyDescent="0.35">
      <c r="A631" s="13">
        <v>55198</v>
      </c>
      <c r="B631" s="14" t="s">
        <v>117</v>
      </c>
      <c r="C631" s="14" t="s">
        <v>116</v>
      </c>
    </row>
    <row r="632" spans="1:7" ht="15" customHeight="1" x14ac:dyDescent="0.35">
      <c r="A632" s="13">
        <v>55243</v>
      </c>
      <c r="B632" s="14" t="s">
        <v>118</v>
      </c>
      <c r="C632" s="14" t="s">
        <v>119</v>
      </c>
    </row>
    <row r="633" spans="1:7" ht="15" customHeight="1" x14ac:dyDescent="0.35">
      <c r="A633" s="13">
        <v>55264</v>
      </c>
      <c r="B633" s="14" t="s">
        <v>118</v>
      </c>
      <c r="C633" s="14" t="s">
        <v>121</v>
      </c>
    </row>
    <row r="634" spans="1:7" ht="15" customHeight="1" x14ac:dyDescent="0.35">
      <c r="A634" s="13">
        <v>55274</v>
      </c>
      <c r="B634" s="14" t="s">
        <v>114</v>
      </c>
      <c r="C634" s="14" t="s">
        <v>122</v>
      </c>
    </row>
    <row r="635" spans="1:7" ht="15" customHeight="1" x14ac:dyDescent="0.35">
      <c r="A635" s="13">
        <v>55305</v>
      </c>
      <c r="B635" s="14" t="s">
        <v>123</v>
      </c>
      <c r="C635" s="14" t="s">
        <v>124</v>
      </c>
    </row>
    <row r="636" spans="1:7" ht="15" customHeight="1" x14ac:dyDescent="0.35">
      <c r="A636" s="13">
        <v>55403</v>
      </c>
      <c r="B636" s="14" t="s">
        <v>123</v>
      </c>
      <c r="C636" s="14" t="s">
        <v>125</v>
      </c>
    </row>
    <row r="637" spans="1:7" ht="15" customHeight="1" x14ac:dyDescent="0.35">
      <c r="A637" s="13">
        <v>55438</v>
      </c>
      <c r="B637" s="14" t="s">
        <v>123</v>
      </c>
      <c r="C637" s="14" t="s">
        <v>126</v>
      </c>
    </row>
    <row r="638" spans="1:7" ht="15" customHeight="1" x14ac:dyDescent="0.35">
      <c r="A638" s="13">
        <v>55459</v>
      </c>
      <c r="B638" s="14" t="s">
        <v>123</v>
      </c>
      <c r="C638" s="14" t="s">
        <v>127</v>
      </c>
    </row>
    <row r="639" spans="1:7" ht="15" customHeight="1" x14ac:dyDescent="0.35">
      <c r="A639" s="13">
        <v>55472</v>
      </c>
      <c r="B639" s="14" t="s">
        <v>131</v>
      </c>
      <c r="C639" s="14" t="s">
        <v>128</v>
      </c>
    </row>
    <row r="640" spans="1:7" ht="15" customHeight="1" x14ac:dyDescent="0.35">
      <c r="A640" s="13">
        <v>55477</v>
      </c>
      <c r="B640" s="14" t="s">
        <v>114</v>
      </c>
      <c r="C640" s="14" t="s">
        <v>132</v>
      </c>
      <c r="G640" s="17"/>
    </row>
    <row r="641" spans="1:7" ht="15" customHeight="1" x14ac:dyDescent="0.35">
      <c r="A641" s="13">
        <v>55512</v>
      </c>
      <c r="B641" s="14" t="s">
        <v>114</v>
      </c>
      <c r="C641" s="14" t="s">
        <v>129</v>
      </c>
    </row>
    <row r="642" spans="1:7" ht="15" customHeight="1" x14ac:dyDescent="0.35">
      <c r="A642" s="15">
        <v>55519</v>
      </c>
      <c r="B642" s="16" t="s">
        <v>114</v>
      </c>
      <c r="C642" s="16" t="s">
        <v>115</v>
      </c>
    </row>
    <row r="643" spans="1:7" ht="15" customHeight="1" x14ac:dyDescent="0.35">
      <c r="A643" s="15">
        <v>55582</v>
      </c>
      <c r="B643" s="16" t="s">
        <v>114</v>
      </c>
      <c r="C643" s="16" t="s">
        <v>116</v>
      </c>
    </row>
    <row r="644" spans="1:7" ht="15" customHeight="1" x14ac:dyDescent="0.35">
      <c r="A644" s="15">
        <v>55583</v>
      </c>
      <c r="B644" s="16" t="s">
        <v>117</v>
      </c>
      <c r="C644" s="16" t="s">
        <v>116</v>
      </c>
    </row>
    <row r="645" spans="1:7" ht="15" customHeight="1" x14ac:dyDescent="0.35">
      <c r="A645" s="15">
        <v>55628</v>
      </c>
      <c r="B645" s="16" t="s">
        <v>118</v>
      </c>
      <c r="C645" s="16" t="s">
        <v>119</v>
      </c>
    </row>
    <row r="646" spans="1:7" ht="15" customHeight="1" x14ac:dyDescent="0.35">
      <c r="A646" s="15">
        <v>55630</v>
      </c>
      <c r="B646" s="16" t="s">
        <v>130</v>
      </c>
      <c r="C646" s="16" t="s">
        <v>121</v>
      </c>
    </row>
    <row r="647" spans="1:7" ht="15" customHeight="1" x14ac:dyDescent="0.35">
      <c r="A647" s="15">
        <v>55640</v>
      </c>
      <c r="B647" s="16" t="s">
        <v>131</v>
      </c>
      <c r="C647" s="16" t="s">
        <v>122</v>
      </c>
    </row>
    <row r="648" spans="1:7" ht="15" customHeight="1" x14ac:dyDescent="0.35">
      <c r="A648" s="15">
        <v>55690</v>
      </c>
      <c r="B648" s="16" t="s">
        <v>123</v>
      </c>
      <c r="C648" s="16" t="s">
        <v>124</v>
      </c>
    </row>
    <row r="649" spans="1:7" ht="15" customHeight="1" x14ac:dyDescent="0.35">
      <c r="A649" s="15">
        <v>55769</v>
      </c>
      <c r="B649" s="16" t="s">
        <v>120</v>
      </c>
      <c r="C649" s="16" t="s">
        <v>125</v>
      </c>
    </row>
    <row r="650" spans="1:7" ht="15" customHeight="1" x14ac:dyDescent="0.35">
      <c r="A650" s="15">
        <v>55804</v>
      </c>
      <c r="B650" s="16" t="s">
        <v>120</v>
      </c>
      <c r="C650" s="16" t="s">
        <v>126</v>
      </c>
    </row>
    <row r="651" spans="1:7" ht="15" customHeight="1" x14ac:dyDescent="0.35">
      <c r="A651" s="15">
        <v>55825</v>
      </c>
      <c r="B651" s="16" t="s">
        <v>120</v>
      </c>
      <c r="C651" s="16" t="s">
        <v>127</v>
      </c>
    </row>
    <row r="652" spans="1:7" ht="15" customHeight="1" x14ac:dyDescent="0.35">
      <c r="A652" s="15">
        <v>55838</v>
      </c>
      <c r="B652" s="16" t="s">
        <v>118</v>
      </c>
      <c r="C652" s="16" t="s">
        <v>128</v>
      </c>
    </row>
    <row r="653" spans="1:7" ht="15" customHeight="1" x14ac:dyDescent="0.35">
      <c r="A653" s="15">
        <v>55843</v>
      </c>
      <c r="B653" s="16" t="s">
        <v>131</v>
      </c>
      <c r="C653" s="16" t="s">
        <v>132</v>
      </c>
      <c r="G653" s="17"/>
    </row>
    <row r="654" spans="1:7" ht="15" customHeight="1" x14ac:dyDescent="0.35">
      <c r="A654" s="15">
        <v>55878</v>
      </c>
      <c r="B654" s="16" t="s">
        <v>131</v>
      </c>
      <c r="C654" s="16" t="s">
        <v>129</v>
      </c>
    </row>
    <row r="655" spans="1:7" ht="15" customHeight="1" x14ac:dyDescent="0.35">
      <c r="A655" s="13">
        <v>55885</v>
      </c>
      <c r="B655" s="14" t="s">
        <v>131</v>
      </c>
      <c r="C655" s="14" t="s">
        <v>115</v>
      </c>
    </row>
    <row r="656" spans="1:7" ht="15" customHeight="1" x14ac:dyDescent="0.35">
      <c r="A656" s="13">
        <v>55932</v>
      </c>
      <c r="B656" s="14" t="s">
        <v>114</v>
      </c>
      <c r="C656" s="14" t="s">
        <v>116</v>
      </c>
    </row>
    <row r="657" spans="1:7" ht="15" customHeight="1" x14ac:dyDescent="0.35">
      <c r="A657" s="13">
        <v>55933</v>
      </c>
      <c r="B657" s="14" t="s">
        <v>117</v>
      </c>
      <c r="C657" s="14" t="s">
        <v>116</v>
      </c>
    </row>
    <row r="658" spans="1:7" ht="15" customHeight="1" x14ac:dyDescent="0.35">
      <c r="A658" s="13">
        <v>55978</v>
      </c>
      <c r="B658" s="14" t="s">
        <v>118</v>
      </c>
      <c r="C658" s="14" t="s">
        <v>119</v>
      </c>
    </row>
    <row r="659" spans="1:7" ht="15" customHeight="1" x14ac:dyDescent="0.35">
      <c r="A659" s="13">
        <v>55995</v>
      </c>
      <c r="B659" s="14" t="s">
        <v>114</v>
      </c>
      <c r="C659" s="14" t="s">
        <v>121</v>
      </c>
    </row>
    <row r="660" spans="1:7" ht="15" customHeight="1" x14ac:dyDescent="0.35">
      <c r="A660" s="13">
        <v>56005</v>
      </c>
      <c r="B660" s="14" t="s">
        <v>123</v>
      </c>
      <c r="C660" s="14" t="s">
        <v>122</v>
      </c>
    </row>
    <row r="661" spans="1:7" ht="15" customHeight="1" x14ac:dyDescent="0.35">
      <c r="A661" s="13">
        <v>56040</v>
      </c>
      <c r="B661" s="14" t="s">
        <v>123</v>
      </c>
      <c r="C661" s="14" t="s">
        <v>124</v>
      </c>
    </row>
    <row r="662" spans="1:7" ht="15" customHeight="1" x14ac:dyDescent="0.35">
      <c r="A662" s="13">
        <v>56134</v>
      </c>
      <c r="B662" s="14" t="s">
        <v>130</v>
      </c>
      <c r="C662" s="14" t="s">
        <v>125</v>
      </c>
    </row>
    <row r="663" spans="1:7" ht="15" customHeight="1" x14ac:dyDescent="0.35">
      <c r="A663" s="13">
        <v>56169</v>
      </c>
      <c r="B663" s="14" t="s">
        <v>130</v>
      </c>
      <c r="C663" s="14" t="s">
        <v>126</v>
      </c>
    </row>
    <row r="664" spans="1:7" ht="15" customHeight="1" x14ac:dyDescent="0.35">
      <c r="A664" s="13">
        <v>56190</v>
      </c>
      <c r="B664" s="14" t="s">
        <v>130</v>
      </c>
      <c r="C664" s="14" t="s">
        <v>127</v>
      </c>
    </row>
    <row r="665" spans="1:7" ht="15" customHeight="1" x14ac:dyDescent="0.35">
      <c r="A665" s="13">
        <v>56203</v>
      </c>
      <c r="B665" s="14" t="s">
        <v>120</v>
      </c>
      <c r="C665" s="14" t="s">
        <v>128</v>
      </c>
    </row>
    <row r="666" spans="1:7" ht="15" customHeight="1" x14ac:dyDescent="0.35">
      <c r="A666" s="13">
        <v>56208</v>
      </c>
      <c r="B666" s="14" t="s">
        <v>123</v>
      </c>
      <c r="C666" s="14" t="s">
        <v>132</v>
      </c>
      <c r="G666" s="17"/>
    </row>
    <row r="667" spans="1:7" ht="15" customHeight="1" x14ac:dyDescent="0.35">
      <c r="A667" s="13">
        <v>56243</v>
      </c>
      <c r="B667" s="14" t="s">
        <v>123</v>
      </c>
      <c r="C667" s="14" t="s">
        <v>129</v>
      </c>
    </row>
    <row r="668" spans="1:7" ht="15" customHeight="1" x14ac:dyDescent="0.35">
      <c r="A668" s="15">
        <v>56250</v>
      </c>
      <c r="B668" s="16" t="s">
        <v>123</v>
      </c>
      <c r="C668" s="16" t="s">
        <v>115</v>
      </c>
    </row>
    <row r="669" spans="1:7" ht="15" customHeight="1" x14ac:dyDescent="0.35">
      <c r="A669" s="15">
        <v>56289</v>
      </c>
      <c r="B669" s="16" t="s">
        <v>114</v>
      </c>
      <c r="C669" s="16" t="s">
        <v>116</v>
      </c>
    </row>
    <row r="670" spans="1:7" ht="15" customHeight="1" x14ac:dyDescent="0.35">
      <c r="A670" s="15">
        <v>56290</v>
      </c>
      <c r="B670" s="16" t="s">
        <v>117</v>
      </c>
      <c r="C670" s="16" t="s">
        <v>116</v>
      </c>
    </row>
    <row r="671" spans="1:7" ht="15" customHeight="1" x14ac:dyDescent="0.35">
      <c r="A671" s="15">
        <v>56335</v>
      </c>
      <c r="B671" s="16" t="s">
        <v>118</v>
      </c>
      <c r="C671" s="16" t="s">
        <v>119</v>
      </c>
    </row>
    <row r="672" spans="1:7" ht="15" customHeight="1" x14ac:dyDescent="0.35">
      <c r="A672" s="15">
        <v>56360</v>
      </c>
      <c r="B672" s="16" t="s">
        <v>117</v>
      </c>
      <c r="C672" s="16" t="s">
        <v>121</v>
      </c>
    </row>
    <row r="673" spans="1:7" ht="15" customHeight="1" x14ac:dyDescent="0.35">
      <c r="A673" s="15">
        <v>56370</v>
      </c>
      <c r="B673" s="16" t="s">
        <v>118</v>
      </c>
      <c r="C673" s="16" t="s">
        <v>122</v>
      </c>
    </row>
    <row r="674" spans="1:7" ht="15" customHeight="1" x14ac:dyDescent="0.35">
      <c r="A674" s="15">
        <v>56397</v>
      </c>
      <c r="B674" s="16" t="s">
        <v>123</v>
      </c>
      <c r="C674" s="16" t="s">
        <v>124</v>
      </c>
    </row>
    <row r="675" spans="1:7" ht="15" customHeight="1" x14ac:dyDescent="0.35">
      <c r="A675" s="15">
        <v>56499</v>
      </c>
      <c r="B675" s="16" t="s">
        <v>114</v>
      </c>
      <c r="C675" s="16" t="s">
        <v>125</v>
      </c>
    </row>
    <row r="676" spans="1:7" ht="15" customHeight="1" x14ac:dyDescent="0.35">
      <c r="A676" s="15">
        <v>56534</v>
      </c>
      <c r="B676" s="16" t="s">
        <v>114</v>
      </c>
      <c r="C676" s="16" t="s">
        <v>126</v>
      </c>
    </row>
    <row r="677" spans="1:7" ht="15" customHeight="1" x14ac:dyDescent="0.35">
      <c r="A677" s="15">
        <v>56555</v>
      </c>
      <c r="B677" s="16" t="s">
        <v>114</v>
      </c>
      <c r="C677" s="16" t="s">
        <v>127</v>
      </c>
    </row>
    <row r="678" spans="1:7" ht="15" customHeight="1" x14ac:dyDescent="0.35">
      <c r="A678" s="15">
        <v>56568</v>
      </c>
      <c r="B678" s="16" t="s">
        <v>130</v>
      </c>
      <c r="C678" s="16" t="s">
        <v>128</v>
      </c>
    </row>
    <row r="679" spans="1:7" ht="15" customHeight="1" x14ac:dyDescent="0.35">
      <c r="A679" s="15">
        <v>56573</v>
      </c>
      <c r="B679" s="16" t="s">
        <v>118</v>
      </c>
      <c r="C679" s="16" t="s">
        <v>132</v>
      </c>
      <c r="G679" s="17"/>
    </row>
    <row r="680" spans="1:7" ht="15" customHeight="1" x14ac:dyDescent="0.35">
      <c r="A680" s="15">
        <v>56608</v>
      </c>
      <c r="B680" s="16" t="s">
        <v>118</v>
      </c>
      <c r="C680" s="16" t="s">
        <v>129</v>
      </c>
    </row>
    <row r="681" spans="1:7" ht="15" customHeight="1" x14ac:dyDescent="0.35">
      <c r="A681" s="13">
        <v>56615</v>
      </c>
      <c r="B681" s="14" t="s">
        <v>118</v>
      </c>
      <c r="C681" s="14" t="s">
        <v>115</v>
      </c>
    </row>
    <row r="682" spans="1:7" ht="15" customHeight="1" x14ac:dyDescent="0.35">
      <c r="A682" s="13">
        <v>56674</v>
      </c>
      <c r="B682" s="14" t="s">
        <v>114</v>
      </c>
      <c r="C682" s="14" t="s">
        <v>116</v>
      </c>
    </row>
    <row r="683" spans="1:7" ht="15" customHeight="1" x14ac:dyDescent="0.35">
      <c r="A683" s="13">
        <v>56675</v>
      </c>
      <c r="B683" s="14" t="s">
        <v>117</v>
      </c>
      <c r="C683" s="14" t="s">
        <v>116</v>
      </c>
    </row>
    <row r="684" spans="1:7" ht="15" customHeight="1" x14ac:dyDescent="0.35">
      <c r="A684" s="13">
        <v>56720</v>
      </c>
      <c r="B684" s="14" t="s">
        <v>118</v>
      </c>
      <c r="C684" s="14" t="s">
        <v>119</v>
      </c>
    </row>
    <row r="685" spans="1:7" ht="15" customHeight="1" x14ac:dyDescent="0.35">
      <c r="A685" s="13">
        <v>56725</v>
      </c>
      <c r="B685" s="14" t="s">
        <v>131</v>
      </c>
      <c r="C685" s="14" t="s">
        <v>121</v>
      </c>
    </row>
    <row r="686" spans="1:7" ht="15" customHeight="1" x14ac:dyDescent="0.35">
      <c r="A686" s="13">
        <v>56735</v>
      </c>
      <c r="B686" s="14" t="s">
        <v>120</v>
      </c>
      <c r="C686" s="14" t="s">
        <v>122</v>
      </c>
    </row>
    <row r="687" spans="1:7" ht="15" customHeight="1" x14ac:dyDescent="0.35">
      <c r="A687" s="13">
        <v>56782</v>
      </c>
      <c r="B687" s="14" t="s">
        <v>123</v>
      </c>
      <c r="C687" s="14" t="s">
        <v>124</v>
      </c>
    </row>
    <row r="688" spans="1:7" ht="15" customHeight="1" x14ac:dyDescent="0.35">
      <c r="A688" s="13">
        <v>56864</v>
      </c>
      <c r="B688" s="14" t="s">
        <v>117</v>
      </c>
      <c r="C688" s="14" t="s">
        <v>125</v>
      </c>
    </row>
    <row r="689" spans="1:7" ht="15" customHeight="1" x14ac:dyDescent="0.35">
      <c r="A689" s="13">
        <v>56899</v>
      </c>
      <c r="B689" s="14" t="s">
        <v>117</v>
      </c>
      <c r="C689" s="14" t="s">
        <v>126</v>
      </c>
    </row>
    <row r="690" spans="1:7" ht="15" customHeight="1" x14ac:dyDescent="0.35">
      <c r="A690" s="13">
        <v>56920</v>
      </c>
      <c r="B690" s="14" t="s">
        <v>117</v>
      </c>
      <c r="C690" s="14" t="s">
        <v>127</v>
      </c>
    </row>
    <row r="691" spans="1:7" ht="15" customHeight="1" x14ac:dyDescent="0.35">
      <c r="A691" s="13">
        <v>56933</v>
      </c>
      <c r="B691" s="14" t="s">
        <v>114</v>
      </c>
      <c r="C691" s="14" t="s">
        <v>128</v>
      </c>
    </row>
    <row r="692" spans="1:7" ht="15" customHeight="1" x14ac:dyDescent="0.35">
      <c r="A692" s="13">
        <v>56938</v>
      </c>
      <c r="B692" s="14" t="s">
        <v>120</v>
      </c>
      <c r="C692" s="14" t="s">
        <v>132</v>
      </c>
      <c r="G692" s="17"/>
    </row>
    <row r="693" spans="1:7" ht="15" customHeight="1" x14ac:dyDescent="0.35">
      <c r="A693" s="13">
        <v>56973</v>
      </c>
      <c r="B693" s="14" t="s">
        <v>120</v>
      </c>
      <c r="C693" s="14" t="s">
        <v>129</v>
      </c>
    </row>
    <row r="694" spans="1:7" ht="15" customHeight="1" x14ac:dyDescent="0.35">
      <c r="A694" s="15">
        <v>56980</v>
      </c>
      <c r="B694" s="16" t="s">
        <v>120</v>
      </c>
      <c r="C694" s="16" t="s">
        <v>115</v>
      </c>
    </row>
    <row r="695" spans="1:7" ht="15" customHeight="1" x14ac:dyDescent="0.35">
      <c r="A695" s="15">
        <v>57024</v>
      </c>
      <c r="B695" s="16" t="s">
        <v>114</v>
      </c>
      <c r="C695" s="16" t="s">
        <v>116</v>
      </c>
    </row>
    <row r="696" spans="1:7" ht="15" customHeight="1" x14ac:dyDescent="0.35">
      <c r="A696" s="15">
        <v>57025</v>
      </c>
      <c r="B696" s="16" t="s">
        <v>117</v>
      </c>
      <c r="C696" s="16" t="s">
        <v>116</v>
      </c>
    </row>
    <row r="697" spans="1:7" ht="15" customHeight="1" x14ac:dyDescent="0.35">
      <c r="A697" s="15">
        <v>57070</v>
      </c>
      <c r="B697" s="16" t="s">
        <v>118</v>
      </c>
      <c r="C697" s="16" t="s">
        <v>119</v>
      </c>
    </row>
    <row r="698" spans="1:7" ht="15" customHeight="1" x14ac:dyDescent="0.35">
      <c r="A698" s="15">
        <v>57091</v>
      </c>
      <c r="B698" s="16" t="s">
        <v>118</v>
      </c>
      <c r="C698" s="16" t="s">
        <v>121</v>
      </c>
    </row>
    <row r="699" spans="1:7" ht="15" customHeight="1" x14ac:dyDescent="0.35">
      <c r="A699" s="15">
        <v>57101</v>
      </c>
      <c r="B699" s="16" t="s">
        <v>114</v>
      </c>
      <c r="C699" s="16" t="s">
        <v>122</v>
      </c>
    </row>
    <row r="700" spans="1:7" ht="15" customHeight="1" x14ac:dyDescent="0.35">
      <c r="A700" s="15">
        <v>57132</v>
      </c>
      <c r="B700" s="16" t="s">
        <v>123</v>
      </c>
      <c r="C700" s="16" t="s">
        <v>124</v>
      </c>
    </row>
    <row r="701" spans="1:7" ht="15" customHeight="1" x14ac:dyDescent="0.35">
      <c r="A701" s="15">
        <v>57230</v>
      </c>
      <c r="B701" s="16" t="s">
        <v>123</v>
      </c>
      <c r="C701" s="16" t="s">
        <v>125</v>
      </c>
    </row>
    <row r="702" spans="1:7" ht="15" customHeight="1" x14ac:dyDescent="0.35">
      <c r="A702" s="15">
        <v>57265</v>
      </c>
      <c r="B702" s="16" t="s">
        <v>123</v>
      </c>
      <c r="C702" s="16" t="s">
        <v>126</v>
      </c>
    </row>
    <row r="703" spans="1:7" ht="15" customHeight="1" x14ac:dyDescent="0.35">
      <c r="A703" s="15">
        <v>57286</v>
      </c>
      <c r="B703" s="16" t="s">
        <v>123</v>
      </c>
      <c r="C703" s="16" t="s">
        <v>127</v>
      </c>
    </row>
    <row r="704" spans="1:7" ht="15" customHeight="1" x14ac:dyDescent="0.35">
      <c r="A704" s="15">
        <v>57299</v>
      </c>
      <c r="B704" s="16" t="s">
        <v>131</v>
      </c>
      <c r="C704" s="16" t="s">
        <v>128</v>
      </c>
    </row>
    <row r="705" spans="1:7" ht="15" customHeight="1" x14ac:dyDescent="0.35">
      <c r="A705" s="15">
        <v>57304</v>
      </c>
      <c r="B705" s="16" t="s">
        <v>114</v>
      </c>
      <c r="C705" s="16" t="s">
        <v>132</v>
      </c>
      <c r="G705" s="17"/>
    </row>
    <row r="706" spans="1:7" ht="15" customHeight="1" x14ac:dyDescent="0.35">
      <c r="A706" s="15">
        <v>57339</v>
      </c>
      <c r="B706" s="16" t="s">
        <v>114</v>
      </c>
      <c r="C706" s="16" t="s">
        <v>129</v>
      </c>
    </row>
    <row r="707" spans="1:7" ht="15" customHeight="1" x14ac:dyDescent="0.35">
      <c r="A707" s="13">
        <v>57346</v>
      </c>
      <c r="B707" s="14" t="s">
        <v>114</v>
      </c>
      <c r="C707" s="14" t="s">
        <v>115</v>
      </c>
    </row>
    <row r="708" spans="1:7" ht="15" customHeight="1" x14ac:dyDescent="0.35">
      <c r="A708" s="13">
        <v>57409</v>
      </c>
      <c r="B708" s="14" t="s">
        <v>114</v>
      </c>
      <c r="C708" s="14" t="s">
        <v>116</v>
      </c>
    </row>
    <row r="709" spans="1:7" ht="15" customHeight="1" x14ac:dyDescent="0.35">
      <c r="A709" s="13">
        <v>57410</v>
      </c>
      <c r="B709" s="14" t="s">
        <v>117</v>
      </c>
      <c r="C709" s="14" t="s">
        <v>116</v>
      </c>
    </row>
    <row r="710" spans="1:7" ht="15" customHeight="1" x14ac:dyDescent="0.35">
      <c r="A710" s="13">
        <v>57455</v>
      </c>
      <c r="B710" s="14" t="s">
        <v>118</v>
      </c>
      <c r="C710" s="14" t="s">
        <v>119</v>
      </c>
    </row>
    <row r="711" spans="1:7" ht="15" customHeight="1" x14ac:dyDescent="0.35">
      <c r="A711" s="13">
        <v>57456</v>
      </c>
      <c r="B711" s="14" t="s">
        <v>120</v>
      </c>
      <c r="C711" s="14" t="s">
        <v>121</v>
      </c>
    </row>
    <row r="712" spans="1:7" ht="15" customHeight="1" x14ac:dyDescent="0.35">
      <c r="A712" s="13">
        <v>57466</v>
      </c>
      <c r="B712" s="14" t="s">
        <v>117</v>
      </c>
      <c r="C712" s="14" t="s">
        <v>122</v>
      </c>
    </row>
    <row r="713" spans="1:7" ht="15" customHeight="1" x14ac:dyDescent="0.35">
      <c r="A713" s="13">
        <v>57517</v>
      </c>
      <c r="B713" s="14" t="s">
        <v>123</v>
      </c>
      <c r="C713" s="14" t="s">
        <v>124</v>
      </c>
    </row>
    <row r="714" spans="1:7" ht="15" customHeight="1" x14ac:dyDescent="0.35">
      <c r="A714" s="13">
        <v>57595</v>
      </c>
      <c r="B714" s="14" t="s">
        <v>118</v>
      </c>
      <c r="C714" s="14" t="s">
        <v>125</v>
      </c>
    </row>
    <row r="715" spans="1:7" ht="15" customHeight="1" x14ac:dyDescent="0.35">
      <c r="A715" s="13">
        <v>57630</v>
      </c>
      <c r="B715" s="14" t="s">
        <v>118</v>
      </c>
      <c r="C715" s="14" t="s">
        <v>126</v>
      </c>
    </row>
    <row r="716" spans="1:7" ht="15" customHeight="1" x14ac:dyDescent="0.35">
      <c r="A716" s="13">
        <v>57651</v>
      </c>
      <c r="B716" s="14" t="s">
        <v>118</v>
      </c>
      <c r="C716" s="14" t="s">
        <v>127</v>
      </c>
    </row>
    <row r="717" spans="1:7" ht="15" customHeight="1" x14ac:dyDescent="0.35">
      <c r="A717" s="13">
        <v>57664</v>
      </c>
      <c r="B717" s="14" t="s">
        <v>123</v>
      </c>
      <c r="C717" s="14" t="s">
        <v>128</v>
      </c>
    </row>
    <row r="718" spans="1:7" ht="15" customHeight="1" x14ac:dyDescent="0.35">
      <c r="A718" s="13">
        <v>57669</v>
      </c>
      <c r="B718" s="14" t="s">
        <v>117</v>
      </c>
      <c r="C718" s="14" t="s">
        <v>132</v>
      </c>
      <c r="G718" s="17"/>
    </row>
    <row r="719" spans="1:7" ht="15" customHeight="1" x14ac:dyDescent="0.35">
      <c r="A719" s="13">
        <v>57704</v>
      </c>
      <c r="B719" s="14" t="s">
        <v>117</v>
      </c>
      <c r="C719" s="14" t="s">
        <v>129</v>
      </c>
    </row>
    <row r="720" spans="1:7" ht="15" customHeight="1" x14ac:dyDescent="0.35">
      <c r="A720" s="15">
        <v>57711</v>
      </c>
      <c r="B720" s="16" t="s">
        <v>117</v>
      </c>
      <c r="C720" s="16" t="s">
        <v>115</v>
      </c>
    </row>
    <row r="721" spans="1:7" ht="15" customHeight="1" x14ac:dyDescent="0.35">
      <c r="A721" s="15">
        <v>57766</v>
      </c>
      <c r="B721" s="16" t="s">
        <v>114</v>
      </c>
      <c r="C721" s="16" t="s">
        <v>116</v>
      </c>
    </row>
    <row r="722" spans="1:7" ht="15" customHeight="1" x14ac:dyDescent="0.35">
      <c r="A722" s="15">
        <v>57767</v>
      </c>
      <c r="B722" s="16" t="s">
        <v>117</v>
      </c>
      <c r="C722" s="16" t="s">
        <v>116</v>
      </c>
    </row>
    <row r="723" spans="1:7" ht="15" customHeight="1" x14ac:dyDescent="0.35">
      <c r="A723" s="15">
        <v>57812</v>
      </c>
      <c r="B723" s="16" t="s">
        <v>118</v>
      </c>
      <c r="C723" s="16" t="s">
        <v>119</v>
      </c>
    </row>
    <row r="724" spans="1:7" ht="15" customHeight="1" x14ac:dyDescent="0.35">
      <c r="A724" s="15">
        <v>57821</v>
      </c>
      <c r="B724" s="16" t="s">
        <v>130</v>
      </c>
      <c r="C724" s="16" t="s">
        <v>121</v>
      </c>
    </row>
    <row r="725" spans="1:7" ht="15" customHeight="1" x14ac:dyDescent="0.35">
      <c r="A725" s="15">
        <v>57831</v>
      </c>
      <c r="B725" s="16" t="s">
        <v>131</v>
      </c>
      <c r="C725" s="16" t="s">
        <v>122</v>
      </c>
    </row>
    <row r="726" spans="1:7" ht="15" customHeight="1" x14ac:dyDescent="0.35">
      <c r="A726" s="15">
        <v>57874</v>
      </c>
      <c r="B726" s="16" t="s">
        <v>123</v>
      </c>
      <c r="C726" s="16" t="s">
        <v>124</v>
      </c>
    </row>
    <row r="727" spans="1:7" ht="15" customHeight="1" x14ac:dyDescent="0.35">
      <c r="A727" s="15">
        <v>57960</v>
      </c>
      <c r="B727" s="16" t="s">
        <v>120</v>
      </c>
      <c r="C727" s="16" t="s">
        <v>125</v>
      </c>
    </row>
    <row r="728" spans="1:7" ht="15" customHeight="1" x14ac:dyDescent="0.35">
      <c r="A728" s="15">
        <v>57995</v>
      </c>
      <c r="B728" s="16" t="s">
        <v>120</v>
      </c>
      <c r="C728" s="16" t="s">
        <v>126</v>
      </c>
    </row>
    <row r="729" spans="1:7" ht="15" customHeight="1" x14ac:dyDescent="0.35">
      <c r="A729" s="15">
        <v>58016</v>
      </c>
      <c r="B729" s="16" t="s">
        <v>120</v>
      </c>
      <c r="C729" s="16" t="s">
        <v>127</v>
      </c>
    </row>
    <row r="730" spans="1:7" ht="15" customHeight="1" x14ac:dyDescent="0.35">
      <c r="A730" s="15">
        <v>58029</v>
      </c>
      <c r="B730" s="16" t="s">
        <v>118</v>
      </c>
      <c r="C730" s="16" t="s">
        <v>128</v>
      </c>
    </row>
    <row r="731" spans="1:7" ht="15" customHeight="1" x14ac:dyDescent="0.35">
      <c r="A731" s="15">
        <v>58034</v>
      </c>
      <c r="B731" s="16" t="s">
        <v>131</v>
      </c>
      <c r="C731" s="16" t="s">
        <v>132</v>
      </c>
      <c r="G731" s="17"/>
    </row>
    <row r="732" spans="1:7" ht="15" customHeight="1" x14ac:dyDescent="0.35">
      <c r="A732" s="15">
        <v>58069</v>
      </c>
      <c r="B732" s="16" t="s">
        <v>131</v>
      </c>
      <c r="C732" s="16" t="s">
        <v>129</v>
      </c>
    </row>
    <row r="733" spans="1:7" ht="15" customHeight="1" x14ac:dyDescent="0.35">
      <c r="A733" s="13">
        <v>58076</v>
      </c>
      <c r="B733" s="14" t="s">
        <v>131</v>
      </c>
      <c r="C733" s="14" t="s">
        <v>115</v>
      </c>
    </row>
    <row r="734" spans="1:7" ht="15" customHeight="1" x14ac:dyDescent="0.35">
      <c r="A734" s="13">
        <v>58116</v>
      </c>
      <c r="B734" s="14" t="s">
        <v>114</v>
      </c>
      <c r="C734" s="14" t="s">
        <v>116</v>
      </c>
    </row>
    <row r="735" spans="1:7" ht="15" customHeight="1" x14ac:dyDescent="0.35">
      <c r="A735" s="13">
        <v>58117</v>
      </c>
      <c r="B735" s="14" t="s">
        <v>117</v>
      </c>
      <c r="C735" s="14" t="s">
        <v>116</v>
      </c>
    </row>
    <row r="736" spans="1:7" ht="15" customHeight="1" x14ac:dyDescent="0.35">
      <c r="A736" s="13">
        <v>58162</v>
      </c>
      <c r="B736" s="14" t="s">
        <v>118</v>
      </c>
      <c r="C736" s="14" t="s">
        <v>119</v>
      </c>
    </row>
    <row r="737" spans="1:7" ht="15" customHeight="1" x14ac:dyDescent="0.35">
      <c r="A737" s="13">
        <v>58186</v>
      </c>
      <c r="B737" s="14" t="s">
        <v>114</v>
      </c>
      <c r="C737" s="14" t="s">
        <v>121</v>
      </c>
    </row>
    <row r="738" spans="1:7" ht="15" customHeight="1" x14ac:dyDescent="0.35">
      <c r="A738" s="13">
        <v>58196</v>
      </c>
      <c r="B738" s="14" t="s">
        <v>123</v>
      </c>
      <c r="C738" s="14" t="s">
        <v>122</v>
      </c>
    </row>
    <row r="739" spans="1:7" ht="15" customHeight="1" x14ac:dyDescent="0.35">
      <c r="A739" s="13">
        <v>58224</v>
      </c>
      <c r="B739" s="14" t="s">
        <v>123</v>
      </c>
      <c r="C739" s="14" t="s">
        <v>124</v>
      </c>
    </row>
    <row r="740" spans="1:7" ht="15" customHeight="1" x14ac:dyDescent="0.35">
      <c r="A740" s="13">
        <v>58325</v>
      </c>
      <c r="B740" s="14" t="s">
        <v>130</v>
      </c>
      <c r="C740" s="14" t="s">
        <v>125</v>
      </c>
    </row>
    <row r="741" spans="1:7" ht="15" customHeight="1" x14ac:dyDescent="0.35">
      <c r="A741" s="13">
        <v>58360</v>
      </c>
      <c r="B741" s="14" t="s">
        <v>130</v>
      </c>
      <c r="C741" s="14" t="s">
        <v>126</v>
      </c>
    </row>
    <row r="742" spans="1:7" ht="15" customHeight="1" x14ac:dyDescent="0.35">
      <c r="A742" s="13">
        <v>58381</v>
      </c>
      <c r="B742" s="14" t="s">
        <v>130</v>
      </c>
      <c r="C742" s="14" t="s">
        <v>127</v>
      </c>
    </row>
    <row r="743" spans="1:7" ht="15" customHeight="1" x14ac:dyDescent="0.35">
      <c r="A743" s="13">
        <v>58394</v>
      </c>
      <c r="B743" s="14" t="s">
        <v>120</v>
      </c>
      <c r="C743" s="14" t="s">
        <v>128</v>
      </c>
    </row>
    <row r="744" spans="1:7" ht="15" customHeight="1" x14ac:dyDescent="0.35">
      <c r="A744" s="13">
        <v>58399</v>
      </c>
      <c r="B744" s="14" t="s">
        <v>123</v>
      </c>
      <c r="C744" s="14" t="s">
        <v>132</v>
      </c>
      <c r="G744" s="17"/>
    </row>
    <row r="745" spans="1:7" ht="15" customHeight="1" x14ac:dyDescent="0.35">
      <c r="A745" s="13">
        <v>58434</v>
      </c>
      <c r="B745" s="14" t="s">
        <v>123</v>
      </c>
      <c r="C745" s="14" t="s">
        <v>129</v>
      </c>
    </row>
    <row r="746" spans="1:7" ht="15" customHeight="1" x14ac:dyDescent="0.35">
      <c r="A746" s="15">
        <v>58441</v>
      </c>
      <c r="B746" s="16" t="s">
        <v>123</v>
      </c>
      <c r="C746" s="16" t="s">
        <v>115</v>
      </c>
    </row>
    <row r="747" spans="1:7" ht="15" customHeight="1" x14ac:dyDescent="0.35">
      <c r="A747" s="15">
        <v>58501</v>
      </c>
      <c r="B747" s="16" t="s">
        <v>114</v>
      </c>
      <c r="C747" s="16" t="s">
        <v>116</v>
      </c>
    </row>
    <row r="748" spans="1:7" ht="15" customHeight="1" x14ac:dyDescent="0.35">
      <c r="A748" s="15">
        <v>58502</v>
      </c>
      <c r="B748" s="16" t="s">
        <v>117</v>
      </c>
      <c r="C748" s="16" t="s">
        <v>116</v>
      </c>
    </row>
    <row r="749" spans="1:7" ht="15" customHeight="1" x14ac:dyDescent="0.35">
      <c r="A749" s="15">
        <v>58547</v>
      </c>
      <c r="B749" s="16" t="s">
        <v>118</v>
      </c>
      <c r="C749" s="16" t="s">
        <v>119</v>
      </c>
    </row>
    <row r="750" spans="1:7" ht="15" customHeight="1" x14ac:dyDescent="0.35">
      <c r="A750" s="15">
        <v>58552</v>
      </c>
      <c r="B750" s="16" t="s">
        <v>131</v>
      </c>
      <c r="C750" s="16" t="s">
        <v>121</v>
      </c>
    </row>
    <row r="751" spans="1:7" ht="15" customHeight="1" x14ac:dyDescent="0.35">
      <c r="A751" s="15">
        <v>58562</v>
      </c>
      <c r="B751" s="16" t="s">
        <v>120</v>
      </c>
      <c r="C751" s="16" t="s">
        <v>122</v>
      </c>
    </row>
    <row r="752" spans="1:7" ht="15" customHeight="1" x14ac:dyDescent="0.35">
      <c r="A752" s="15">
        <v>58609</v>
      </c>
      <c r="B752" s="16" t="s">
        <v>123</v>
      </c>
      <c r="C752" s="16" t="s">
        <v>124</v>
      </c>
    </row>
    <row r="753" spans="1:7" ht="15" customHeight="1" x14ac:dyDescent="0.35">
      <c r="A753" s="15">
        <v>58691</v>
      </c>
      <c r="B753" s="16" t="s">
        <v>117</v>
      </c>
      <c r="C753" s="16" t="s">
        <v>125</v>
      </c>
    </row>
    <row r="754" spans="1:7" ht="15" customHeight="1" x14ac:dyDescent="0.35">
      <c r="A754" s="15">
        <v>58726</v>
      </c>
      <c r="B754" s="16" t="s">
        <v>117</v>
      </c>
      <c r="C754" s="16" t="s">
        <v>126</v>
      </c>
    </row>
    <row r="755" spans="1:7" ht="15" customHeight="1" x14ac:dyDescent="0.35">
      <c r="A755" s="15">
        <v>58747</v>
      </c>
      <c r="B755" s="16" t="s">
        <v>117</v>
      </c>
      <c r="C755" s="16" t="s">
        <v>127</v>
      </c>
    </row>
    <row r="756" spans="1:7" ht="15" customHeight="1" x14ac:dyDescent="0.35">
      <c r="A756" s="15">
        <v>58760</v>
      </c>
      <c r="B756" s="16" t="s">
        <v>114</v>
      </c>
      <c r="C756" s="16" t="s">
        <v>128</v>
      </c>
    </row>
    <row r="757" spans="1:7" ht="15" customHeight="1" x14ac:dyDescent="0.35">
      <c r="A757" s="15">
        <v>58765</v>
      </c>
      <c r="B757" s="16" t="s">
        <v>120</v>
      </c>
      <c r="C757" s="16" t="s">
        <v>132</v>
      </c>
      <c r="G757" s="17"/>
    </row>
    <row r="758" spans="1:7" ht="15" customHeight="1" x14ac:dyDescent="0.35">
      <c r="A758" s="15">
        <v>58800</v>
      </c>
      <c r="B758" s="16" t="s">
        <v>120</v>
      </c>
      <c r="C758" s="16" t="s">
        <v>129</v>
      </c>
    </row>
    <row r="759" spans="1:7" ht="15" customHeight="1" x14ac:dyDescent="0.35">
      <c r="A759" s="13">
        <v>58807</v>
      </c>
      <c r="B759" s="14" t="s">
        <v>120</v>
      </c>
      <c r="C759" s="14" t="s">
        <v>115</v>
      </c>
    </row>
    <row r="760" spans="1:7" ht="15" customHeight="1" x14ac:dyDescent="0.35">
      <c r="A760" s="13">
        <v>58858</v>
      </c>
      <c r="B760" s="14" t="s">
        <v>114</v>
      </c>
      <c r="C760" s="14" t="s">
        <v>116</v>
      </c>
    </row>
    <row r="761" spans="1:7" ht="15" customHeight="1" x14ac:dyDescent="0.35">
      <c r="A761" s="13">
        <v>58859</v>
      </c>
      <c r="B761" s="14" t="s">
        <v>117</v>
      </c>
      <c r="C761" s="14" t="s">
        <v>116</v>
      </c>
    </row>
    <row r="762" spans="1:7" ht="15" customHeight="1" x14ac:dyDescent="0.35">
      <c r="A762" s="13">
        <v>58904</v>
      </c>
      <c r="B762" s="14" t="s">
        <v>118</v>
      </c>
      <c r="C762" s="14" t="s">
        <v>119</v>
      </c>
    </row>
    <row r="763" spans="1:7" ht="15" customHeight="1" x14ac:dyDescent="0.35">
      <c r="A763" s="13">
        <v>58917</v>
      </c>
      <c r="B763" s="14" t="s">
        <v>123</v>
      </c>
      <c r="C763" s="14" t="s">
        <v>121</v>
      </c>
    </row>
    <row r="764" spans="1:7" ht="15" customHeight="1" x14ac:dyDescent="0.35">
      <c r="A764" s="13">
        <v>58927</v>
      </c>
      <c r="B764" s="14" t="s">
        <v>130</v>
      </c>
      <c r="C764" s="14" t="s">
        <v>122</v>
      </c>
    </row>
    <row r="765" spans="1:7" ht="15" customHeight="1" x14ac:dyDescent="0.35">
      <c r="A765" s="13">
        <v>58966</v>
      </c>
      <c r="B765" s="14" t="s">
        <v>123</v>
      </c>
      <c r="C765" s="14" t="s">
        <v>124</v>
      </c>
    </row>
    <row r="766" spans="1:7" ht="15" customHeight="1" x14ac:dyDescent="0.35">
      <c r="A766" s="13">
        <v>59056</v>
      </c>
      <c r="B766" s="14" t="s">
        <v>131</v>
      </c>
      <c r="C766" s="14" t="s">
        <v>125</v>
      </c>
    </row>
    <row r="767" spans="1:7" ht="15" customHeight="1" x14ac:dyDescent="0.35">
      <c r="A767" s="13">
        <v>59091</v>
      </c>
      <c r="B767" s="14" t="s">
        <v>131</v>
      </c>
      <c r="C767" s="14" t="s">
        <v>126</v>
      </c>
    </row>
    <row r="768" spans="1:7" ht="15" customHeight="1" x14ac:dyDescent="0.35">
      <c r="A768" s="13">
        <v>59112</v>
      </c>
      <c r="B768" s="14" t="s">
        <v>131</v>
      </c>
      <c r="C768" s="14" t="s">
        <v>127</v>
      </c>
    </row>
    <row r="769" spans="1:7" ht="15" customHeight="1" x14ac:dyDescent="0.35">
      <c r="A769" s="13">
        <v>59125</v>
      </c>
      <c r="B769" s="14" t="s">
        <v>117</v>
      </c>
      <c r="C769" s="14" t="s">
        <v>128</v>
      </c>
    </row>
    <row r="770" spans="1:7" ht="15" customHeight="1" x14ac:dyDescent="0.35">
      <c r="A770" s="13">
        <v>59130</v>
      </c>
      <c r="B770" s="14" t="s">
        <v>130</v>
      </c>
      <c r="C770" s="14" t="s">
        <v>132</v>
      </c>
      <c r="G770" s="17"/>
    </row>
    <row r="771" spans="1:7" ht="15" customHeight="1" x14ac:dyDescent="0.35">
      <c r="A771" s="13">
        <v>59165</v>
      </c>
      <c r="B771" s="14" t="s">
        <v>130</v>
      </c>
      <c r="C771" s="14" t="s">
        <v>129</v>
      </c>
    </row>
    <row r="772" spans="1:7" ht="15" customHeight="1" x14ac:dyDescent="0.35">
      <c r="A772" s="15">
        <v>59172</v>
      </c>
      <c r="B772" s="16" t="s">
        <v>130</v>
      </c>
      <c r="C772" s="16" t="s">
        <v>115</v>
      </c>
    </row>
    <row r="773" spans="1:7" ht="15" customHeight="1" x14ac:dyDescent="0.35">
      <c r="A773" s="15">
        <v>59208</v>
      </c>
      <c r="B773" s="16" t="s">
        <v>114</v>
      </c>
      <c r="C773" s="16" t="s">
        <v>116</v>
      </c>
    </row>
    <row r="774" spans="1:7" ht="15" customHeight="1" x14ac:dyDescent="0.35">
      <c r="A774" s="15">
        <v>59209</v>
      </c>
      <c r="B774" s="16" t="s">
        <v>117</v>
      </c>
      <c r="C774" s="16" t="s">
        <v>116</v>
      </c>
    </row>
    <row r="775" spans="1:7" ht="15" customHeight="1" x14ac:dyDescent="0.35">
      <c r="A775" s="15">
        <v>59254</v>
      </c>
      <c r="B775" s="16" t="s">
        <v>118</v>
      </c>
      <c r="C775" s="16" t="s">
        <v>119</v>
      </c>
    </row>
    <row r="776" spans="1:7" ht="15" customHeight="1" x14ac:dyDescent="0.35">
      <c r="A776" s="15">
        <v>59282</v>
      </c>
      <c r="B776" s="16" t="s">
        <v>118</v>
      </c>
      <c r="C776" s="16" t="s">
        <v>121</v>
      </c>
    </row>
    <row r="777" spans="1:7" ht="15" customHeight="1" x14ac:dyDescent="0.35">
      <c r="A777" s="15">
        <v>59292</v>
      </c>
      <c r="B777" s="16" t="s">
        <v>114</v>
      </c>
      <c r="C777" s="16" t="s">
        <v>122</v>
      </c>
    </row>
    <row r="778" spans="1:7" ht="15" customHeight="1" x14ac:dyDescent="0.35">
      <c r="A778" s="15">
        <v>59316</v>
      </c>
      <c r="B778" s="16" t="s">
        <v>123</v>
      </c>
      <c r="C778" s="16" t="s">
        <v>124</v>
      </c>
    </row>
    <row r="779" spans="1:7" ht="15" customHeight="1" x14ac:dyDescent="0.35">
      <c r="A779" s="15">
        <v>59421</v>
      </c>
      <c r="B779" s="16" t="s">
        <v>123</v>
      </c>
      <c r="C779" s="16" t="s">
        <v>125</v>
      </c>
    </row>
    <row r="780" spans="1:7" ht="15" customHeight="1" x14ac:dyDescent="0.35">
      <c r="A780" s="15">
        <v>59456</v>
      </c>
      <c r="B780" s="16" t="s">
        <v>123</v>
      </c>
      <c r="C780" s="16" t="s">
        <v>126</v>
      </c>
    </row>
    <row r="781" spans="1:7" ht="15" customHeight="1" x14ac:dyDescent="0.35">
      <c r="A781" s="15">
        <v>59477</v>
      </c>
      <c r="B781" s="16" t="s">
        <v>123</v>
      </c>
      <c r="C781" s="16" t="s">
        <v>127</v>
      </c>
    </row>
    <row r="782" spans="1:7" ht="15" customHeight="1" x14ac:dyDescent="0.35">
      <c r="A782" s="15">
        <v>59490</v>
      </c>
      <c r="B782" s="16" t="s">
        <v>131</v>
      </c>
      <c r="C782" s="16" t="s">
        <v>128</v>
      </c>
    </row>
    <row r="783" spans="1:7" ht="15" customHeight="1" x14ac:dyDescent="0.35">
      <c r="A783" s="15">
        <v>59495</v>
      </c>
      <c r="B783" s="16" t="s">
        <v>114</v>
      </c>
      <c r="C783" s="16" t="s">
        <v>132</v>
      </c>
      <c r="G783" s="17"/>
    </row>
    <row r="784" spans="1:7" ht="15" customHeight="1" x14ac:dyDescent="0.35">
      <c r="A784" s="15">
        <v>59530</v>
      </c>
      <c r="B784" s="16" t="s">
        <v>114</v>
      </c>
      <c r="C784" s="16" t="s">
        <v>129</v>
      </c>
    </row>
    <row r="785" spans="1:7" ht="15" customHeight="1" x14ac:dyDescent="0.35">
      <c r="A785" s="13">
        <v>59537</v>
      </c>
      <c r="B785" s="14" t="s">
        <v>114</v>
      </c>
      <c r="C785" s="14" t="s">
        <v>115</v>
      </c>
    </row>
    <row r="786" spans="1:7" ht="15" customHeight="1" x14ac:dyDescent="0.35">
      <c r="A786" s="13">
        <v>59593</v>
      </c>
      <c r="B786" s="14" t="s">
        <v>114</v>
      </c>
      <c r="C786" s="14" t="s">
        <v>116</v>
      </c>
    </row>
    <row r="787" spans="1:7" ht="15" customHeight="1" x14ac:dyDescent="0.35">
      <c r="A787" s="13">
        <v>59594</v>
      </c>
      <c r="B787" s="14" t="s">
        <v>117</v>
      </c>
      <c r="C787" s="14" t="s">
        <v>116</v>
      </c>
    </row>
    <row r="788" spans="1:7" ht="15" customHeight="1" x14ac:dyDescent="0.35">
      <c r="A788" s="13">
        <v>59639</v>
      </c>
      <c r="B788" s="14" t="s">
        <v>118</v>
      </c>
      <c r="C788" s="14" t="s">
        <v>119</v>
      </c>
    </row>
    <row r="789" spans="1:7" ht="15" customHeight="1" x14ac:dyDescent="0.35">
      <c r="A789" s="13">
        <v>59647</v>
      </c>
      <c r="B789" s="14" t="s">
        <v>120</v>
      </c>
      <c r="C789" s="14" t="s">
        <v>121</v>
      </c>
    </row>
    <row r="790" spans="1:7" ht="15" customHeight="1" x14ac:dyDescent="0.35">
      <c r="A790" s="13">
        <v>59657</v>
      </c>
      <c r="B790" s="14" t="s">
        <v>117</v>
      </c>
      <c r="C790" s="14" t="s">
        <v>122</v>
      </c>
    </row>
    <row r="791" spans="1:7" ht="15" customHeight="1" x14ac:dyDescent="0.35">
      <c r="A791" s="13">
        <v>59701</v>
      </c>
      <c r="B791" s="14" t="s">
        <v>123</v>
      </c>
      <c r="C791" s="14" t="s">
        <v>124</v>
      </c>
    </row>
    <row r="792" spans="1:7" ht="15" customHeight="1" x14ac:dyDescent="0.35">
      <c r="A792" s="13">
        <v>59786</v>
      </c>
      <c r="B792" s="14" t="s">
        <v>118</v>
      </c>
      <c r="C792" s="14" t="s">
        <v>125</v>
      </c>
    </row>
    <row r="793" spans="1:7" ht="15" customHeight="1" x14ac:dyDescent="0.35">
      <c r="A793" s="13">
        <v>59821</v>
      </c>
      <c r="B793" s="14" t="s">
        <v>118</v>
      </c>
      <c r="C793" s="14" t="s">
        <v>126</v>
      </c>
    </row>
    <row r="794" spans="1:7" ht="15" customHeight="1" x14ac:dyDescent="0.35">
      <c r="A794" s="13">
        <v>59842</v>
      </c>
      <c r="B794" s="14" t="s">
        <v>118</v>
      </c>
      <c r="C794" s="14" t="s">
        <v>127</v>
      </c>
    </row>
    <row r="795" spans="1:7" ht="15" customHeight="1" x14ac:dyDescent="0.35">
      <c r="A795" s="13">
        <v>59855</v>
      </c>
      <c r="B795" s="14" t="s">
        <v>123</v>
      </c>
      <c r="C795" s="14" t="s">
        <v>128</v>
      </c>
    </row>
    <row r="796" spans="1:7" ht="15" customHeight="1" x14ac:dyDescent="0.35">
      <c r="A796" s="13">
        <v>59860</v>
      </c>
      <c r="B796" s="14" t="s">
        <v>117</v>
      </c>
      <c r="C796" s="14" t="s">
        <v>132</v>
      </c>
      <c r="G796" s="17"/>
    </row>
    <row r="797" spans="1:7" ht="15" customHeight="1" x14ac:dyDescent="0.35">
      <c r="A797" s="13">
        <v>59895</v>
      </c>
      <c r="B797" s="14" t="s">
        <v>117</v>
      </c>
      <c r="C797" s="14" t="s">
        <v>129</v>
      </c>
    </row>
    <row r="798" spans="1:7" ht="15" customHeight="1" x14ac:dyDescent="0.35">
      <c r="A798" s="15">
        <v>59902</v>
      </c>
      <c r="B798" s="16" t="s">
        <v>117</v>
      </c>
      <c r="C798" s="16" t="s">
        <v>115</v>
      </c>
    </row>
    <row r="799" spans="1:7" ht="15" customHeight="1" x14ac:dyDescent="0.35">
      <c r="A799" s="15">
        <v>59950</v>
      </c>
      <c r="B799" s="16" t="s">
        <v>114</v>
      </c>
      <c r="C799" s="16" t="s">
        <v>116</v>
      </c>
    </row>
    <row r="800" spans="1:7" ht="15" customHeight="1" x14ac:dyDescent="0.35">
      <c r="A800" s="15">
        <v>59951</v>
      </c>
      <c r="B800" s="16" t="s">
        <v>117</v>
      </c>
      <c r="C800" s="16" t="s">
        <v>116</v>
      </c>
    </row>
    <row r="801" spans="1:7" ht="15" customHeight="1" x14ac:dyDescent="0.35">
      <c r="A801" s="15">
        <v>59996</v>
      </c>
      <c r="B801" s="16" t="s">
        <v>118</v>
      </c>
      <c r="C801" s="16" t="s">
        <v>119</v>
      </c>
    </row>
    <row r="802" spans="1:7" ht="15" customHeight="1" x14ac:dyDescent="0.35">
      <c r="A802" s="15">
        <v>60013</v>
      </c>
      <c r="B802" s="16" t="s">
        <v>114</v>
      </c>
      <c r="C802" s="16" t="s">
        <v>121</v>
      </c>
    </row>
    <row r="803" spans="1:7" ht="15" customHeight="1" x14ac:dyDescent="0.35">
      <c r="A803" s="15">
        <v>60023</v>
      </c>
      <c r="B803" s="16" t="s">
        <v>123</v>
      </c>
      <c r="C803" s="16" t="s">
        <v>122</v>
      </c>
    </row>
    <row r="804" spans="1:7" ht="15" customHeight="1" x14ac:dyDescent="0.35">
      <c r="A804" s="15">
        <v>60058</v>
      </c>
      <c r="B804" s="16" t="s">
        <v>123</v>
      </c>
      <c r="C804" s="16" t="s">
        <v>124</v>
      </c>
    </row>
    <row r="805" spans="1:7" ht="15" customHeight="1" x14ac:dyDescent="0.35">
      <c r="A805" s="15">
        <v>60152</v>
      </c>
      <c r="B805" s="16" t="s">
        <v>130</v>
      </c>
      <c r="C805" s="16" t="s">
        <v>125</v>
      </c>
    </row>
    <row r="806" spans="1:7" ht="15" customHeight="1" x14ac:dyDescent="0.35">
      <c r="A806" s="15">
        <v>60187</v>
      </c>
      <c r="B806" s="16" t="s">
        <v>130</v>
      </c>
      <c r="C806" s="16" t="s">
        <v>126</v>
      </c>
    </row>
    <row r="807" spans="1:7" ht="15" customHeight="1" x14ac:dyDescent="0.35">
      <c r="A807" s="15">
        <v>60208</v>
      </c>
      <c r="B807" s="16" t="s">
        <v>130</v>
      </c>
      <c r="C807" s="16" t="s">
        <v>127</v>
      </c>
    </row>
    <row r="808" spans="1:7" ht="15" customHeight="1" x14ac:dyDescent="0.35">
      <c r="A808" s="15">
        <v>60221</v>
      </c>
      <c r="B808" s="16" t="s">
        <v>120</v>
      </c>
      <c r="C808" s="16" t="s">
        <v>128</v>
      </c>
    </row>
    <row r="809" spans="1:7" ht="15" customHeight="1" x14ac:dyDescent="0.35">
      <c r="A809" s="15">
        <v>60226</v>
      </c>
      <c r="B809" s="16" t="s">
        <v>123</v>
      </c>
      <c r="C809" s="16" t="s">
        <v>132</v>
      </c>
      <c r="G809" s="17"/>
    </row>
    <row r="810" spans="1:7" ht="15" customHeight="1" x14ac:dyDescent="0.35">
      <c r="A810" s="15">
        <v>60261</v>
      </c>
      <c r="B810" s="16" t="s">
        <v>123</v>
      </c>
      <c r="C810" s="16" t="s">
        <v>129</v>
      </c>
    </row>
    <row r="811" spans="1:7" ht="15" customHeight="1" x14ac:dyDescent="0.35">
      <c r="A811" s="13">
        <v>60268</v>
      </c>
      <c r="B811" s="14" t="s">
        <v>123</v>
      </c>
      <c r="C811" s="14" t="s">
        <v>115</v>
      </c>
    </row>
    <row r="812" spans="1:7" ht="15" customHeight="1" x14ac:dyDescent="0.35">
      <c r="A812" s="13">
        <v>60307</v>
      </c>
      <c r="B812" s="14" t="s">
        <v>114</v>
      </c>
      <c r="C812" s="14" t="s">
        <v>116</v>
      </c>
    </row>
    <row r="813" spans="1:7" ht="15" customHeight="1" x14ac:dyDescent="0.35">
      <c r="A813" s="13">
        <v>60308</v>
      </c>
      <c r="B813" s="14" t="s">
        <v>117</v>
      </c>
      <c r="C813" s="14" t="s">
        <v>116</v>
      </c>
    </row>
    <row r="814" spans="1:7" ht="15" customHeight="1" x14ac:dyDescent="0.35">
      <c r="A814" s="13">
        <v>60353</v>
      </c>
      <c r="B814" s="14" t="s">
        <v>118</v>
      </c>
      <c r="C814" s="14" t="s">
        <v>119</v>
      </c>
    </row>
    <row r="815" spans="1:7" ht="15" customHeight="1" x14ac:dyDescent="0.35">
      <c r="A815" s="13">
        <v>60378</v>
      </c>
      <c r="B815" s="14" t="s">
        <v>117</v>
      </c>
      <c r="C815" s="14" t="s">
        <v>121</v>
      </c>
    </row>
    <row r="816" spans="1:7" ht="15" customHeight="1" x14ac:dyDescent="0.35">
      <c r="A816" s="13">
        <v>60388</v>
      </c>
      <c r="B816" s="14" t="s">
        <v>118</v>
      </c>
      <c r="C816" s="14" t="s">
        <v>122</v>
      </c>
    </row>
    <row r="817" spans="1:7" ht="15" customHeight="1" x14ac:dyDescent="0.35">
      <c r="A817" s="13">
        <v>60415</v>
      </c>
      <c r="B817" s="14" t="s">
        <v>123</v>
      </c>
      <c r="C817" s="14" t="s">
        <v>124</v>
      </c>
    </row>
    <row r="818" spans="1:7" ht="15" customHeight="1" x14ac:dyDescent="0.35">
      <c r="A818" s="13">
        <v>60517</v>
      </c>
      <c r="B818" s="14" t="s">
        <v>114</v>
      </c>
      <c r="C818" s="14" t="s">
        <v>125</v>
      </c>
    </row>
    <row r="819" spans="1:7" ht="15" customHeight="1" x14ac:dyDescent="0.35">
      <c r="A819" s="13">
        <v>60552</v>
      </c>
      <c r="B819" s="14" t="s">
        <v>114</v>
      </c>
      <c r="C819" s="14" t="s">
        <v>126</v>
      </c>
    </row>
    <row r="820" spans="1:7" ht="15" customHeight="1" x14ac:dyDescent="0.35">
      <c r="A820" s="13">
        <v>60573</v>
      </c>
      <c r="B820" s="14" t="s">
        <v>114</v>
      </c>
      <c r="C820" s="14" t="s">
        <v>127</v>
      </c>
    </row>
    <row r="821" spans="1:7" ht="15" customHeight="1" x14ac:dyDescent="0.35">
      <c r="A821" s="13">
        <v>60586</v>
      </c>
      <c r="B821" s="14" t="s">
        <v>130</v>
      </c>
      <c r="C821" s="14" t="s">
        <v>128</v>
      </c>
    </row>
    <row r="822" spans="1:7" ht="15" customHeight="1" x14ac:dyDescent="0.35">
      <c r="A822" s="13">
        <v>60591</v>
      </c>
      <c r="B822" s="14" t="s">
        <v>118</v>
      </c>
      <c r="C822" s="14" t="s">
        <v>132</v>
      </c>
      <c r="G822" s="17"/>
    </row>
    <row r="823" spans="1:7" ht="15" customHeight="1" x14ac:dyDescent="0.35">
      <c r="A823" s="13">
        <v>60626</v>
      </c>
      <c r="B823" s="14" t="s">
        <v>118</v>
      </c>
      <c r="C823" s="14" t="s">
        <v>129</v>
      </c>
    </row>
    <row r="824" spans="1:7" ht="15" customHeight="1" x14ac:dyDescent="0.35">
      <c r="A824" s="15">
        <v>60633</v>
      </c>
      <c r="B824" s="16" t="s">
        <v>118</v>
      </c>
      <c r="C824" s="16" t="s">
        <v>115</v>
      </c>
    </row>
    <row r="825" spans="1:7" ht="15" customHeight="1" x14ac:dyDescent="0.35">
      <c r="A825" s="15">
        <v>60685</v>
      </c>
      <c r="B825" s="16" t="s">
        <v>114</v>
      </c>
      <c r="C825" s="16" t="s">
        <v>116</v>
      </c>
    </row>
    <row r="826" spans="1:7" ht="15" customHeight="1" x14ac:dyDescent="0.35">
      <c r="A826" s="15">
        <v>60686</v>
      </c>
      <c r="B826" s="16" t="s">
        <v>117</v>
      </c>
      <c r="C826" s="16" t="s">
        <v>116</v>
      </c>
    </row>
    <row r="827" spans="1:7" ht="15" customHeight="1" x14ac:dyDescent="0.35">
      <c r="A827" s="15">
        <v>60731</v>
      </c>
      <c r="B827" s="16" t="s">
        <v>118</v>
      </c>
      <c r="C827" s="16" t="s">
        <v>119</v>
      </c>
    </row>
    <row r="828" spans="1:7" ht="15" customHeight="1" x14ac:dyDescent="0.35">
      <c r="A828" s="15">
        <v>60743</v>
      </c>
      <c r="B828" s="16" t="s">
        <v>131</v>
      </c>
      <c r="C828" s="16" t="s">
        <v>121</v>
      </c>
    </row>
    <row r="829" spans="1:7" ht="15" customHeight="1" x14ac:dyDescent="0.35">
      <c r="A829" s="15">
        <v>60753</v>
      </c>
      <c r="B829" s="16" t="s">
        <v>120</v>
      </c>
      <c r="C829" s="16" t="s">
        <v>122</v>
      </c>
    </row>
    <row r="830" spans="1:7" ht="15" customHeight="1" x14ac:dyDescent="0.35">
      <c r="A830" s="15">
        <v>60793</v>
      </c>
      <c r="B830" s="16" t="s">
        <v>123</v>
      </c>
      <c r="C830" s="16" t="s">
        <v>124</v>
      </c>
    </row>
    <row r="831" spans="1:7" ht="15" customHeight="1" x14ac:dyDescent="0.35">
      <c r="A831" s="15">
        <v>60882</v>
      </c>
      <c r="B831" s="16" t="s">
        <v>117</v>
      </c>
      <c r="C831" s="16" t="s">
        <v>125</v>
      </c>
    </row>
    <row r="832" spans="1:7" ht="15" customHeight="1" x14ac:dyDescent="0.35">
      <c r="A832" s="15">
        <v>60917</v>
      </c>
      <c r="B832" s="16" t="s">
        <v>117</v>
      </c>
      <c r="C832" s="16" t="s">
        <v>126</v>
      </c>
    </row>
    <row r="833" spans="1:7" ht="15" customHeight="1" x14ac:dyDescent="0.35">
      <c r="A833" s="15">
        <v>60938</v>
      </c>
      <c r="B833" s="16" t="s">
        <v>117</v>
      </c>
      <c r="C833" s="16" t="s">
        <v>127</v>
      </c>
    </row>
    <row r="834" spans="1:7" ht="15" customHeight="1" x14ac:dyDescent="0.35">
      <c r="A834" s="15">
        <v>60951</v>
      </c>
      <c r="B834" s="16" t="s">
        <v>114</v>
      </c>
      <c r="C834" s="16" t="s">
        <v>128</v>
      </c>
    </row>
    <row r="835" spans="1:7" ht="15" customHeight="1" x14ac:dyDescent="0.35">
      <c r="A835" s="15">
        <v>60956</v>
      </c>
      <c r="B835" s="16" t="s">
        <v>120</v>
      </c>
      <c r="C835" s="16" t="s">
        <v>132</v>
      </c>
      <c r="G835" s="17"/>
    </row>
    <row r="836" spans="1:7" ht="15" customHeight="1" x14ac:dyDescent="0.35">
      <c r="A836" s="15">
        <v>60991</v>
      </c>
      <c r="B836" s="16" t="s">
        <v>120</v>
      </c>
      <c r="C836" s="16" t="s">
        <v>129</v>
      </c>
    </row>
    <row r="837" spans="1:7" ht="15" customHeight="1" x14ac:dyDescent="0.35">
      <c r="A837" s="13">
        <v>60998</v>
      </c>
      <c r="B837" s="14" t="s">
        <v>120</v>
      </c>
      <c r="C837" s="14" t="s">
        <v>115</v>
      </c>
    </row>
    <row r="838" spans="1:7" ht="15" customHeight="1" x14ac:dyDescent="0.35">
      <c r="A838" s="13">
        <v>61042</v>
      </c>
      <c r="B838" s="14" t="s">
        <v>114</v>
      </c>
      <c r="C838" s="14" t="s">
        <v>116</v>
      </c>
    </row>
    <row r="839" spans="1:7" ht="15" customHeight="1" x14ac:dyDescent="0.35">
      <c r="A839" s="13">
        <v>61043</v>
      </c>
      <c r="B839" s="14" t="s">
        <v>117</v>
      </c>
      <c r="C839" s="14" t="s">
        <v>116</v>
      </c>
    </row>
    <row r="840" spans="1:7" ht="15" customHeight="1" x14ac:dyDescent="0.35">
      <c r="A840" s="13">
        <v>61088</v>
      </c>
      <c r="B840" s="14" t="s">
        <v>118</v>
      </c>
      <c r="C840" s="14" t="s">
        <v>119</v>
      </c>
    </row>
    <row r="841" spans="1:7" ht="15" customHeight="1" x14ac:dyDescent="0.35">
      <c r="A841" s="13">
        <v>61108</v>
      </c>
      <c r="B841" s="14" t="s">
        <v>123</v>
      </c>
      <c r="C841" s="14" t="s">
        <v>121</v>
      </c>
    </row>
    <row r="842" spans="1:7" ht="15" customHeight="1" x14ac:dyDescent="0.35">
      <c r="A842" s="13">
        <v>61118</v>
      </c>
      <c r="B842" s="14" t="s">
        <v>130</v>
      </c>
      <c r="C842" s="14" t="s">
        <v>122</v>
      </c>
    </row>
    <row r="843" spans="1:7" ht="15" customHeight="1" x14ac:dyDescent="0.35">
      <c r="A843" s="13">
        <v>61150</v>
      </c>
      <c r="B843" s="14" t="s">
        <v>123</v>
      </c>
      <c r="C843" s="14" t="s">
        <v>124</v>
      </c>
    </row>
    <row r="844" spans="1:7" ht="15" customHeight="1" x14ac:dyDescent="0.35">
      <c r="A844" s="13">
        <v>61247</v>
      </c>
      <c r="B844" s="14" t="s">
        <v>131</v>
      </c>
      <c r="C844" s="14" t="s">
        <v>125</v>
      </c>
    </row>
    <row r="845" spans="1:7" ht="15" customHeight="1" x14ac:dyDescent="0.35">
      <c r="A845" s="13">
        <v>61282</v>
      </c>
      <c r="B845" s="14" t="s">
        <v>131</v>
      </c>
      <c r="C845" s="14" t="s">
        <v>126</v>
      </c>
    </row>
    <row r="846" spans="1:7" ht="15" customHeight="1" x14ac:dyDescent="0.35">
      <c r="A846" s="13">
        <v>61303</v>
      </c>
      <c r="B846" s="14" t="s">
        <v>131</v>
      </c>
      <c r="C846" s="14" t="s">
        <v>127</v>
      </c>
    </row>
    <row r="847" spans="1:7" ht="15" customHeight="1" x14ac:dyDescent="0.35">
      <c r="A847" s="13">
        <v>61316</v>
      </c>
      <c r="B847" s="14" t="s">
        <v>117</v>
      </c>
      <c r="C847" s="14" t="s">
        <v>128</v>
      </c>
    </row>
    <row r="848" spans="1:7" ht="15" customHeight="1" x14ac:dyDescent="0.35">
      <c r="A848" s="13">
        <v>61321</v>
      </c>
      <c r="B848" s="14" t="s">
        <v>130</v>
      </c>
      <c r="C848" s="14" t="s">
        <v>132</v>
      </c>
      <c r="G848" s="17"/>
    </row>
    <row r="849" spans="1:7" ht="15" customHeight="1" x14ac:dyDescent="0.35">
      <c r="A849" s="13">
        <v>61356</v>
      </c>
      <c r="B849" s="14" t="s">
        <v>130</v>
      </c>
      <c r="C849" s="14" t="s">
        <v>129</v>
      </c>
    </row>
    <row r="850" spans="1:7" ht="15" customHeight="1" x14ac:dyDescent="0.35">
      <c r="A850" s="15">
        <v>61363</v>
      </c>
      <c r="B850" s="16" t="s">
        <v>130</v>
      </c>
      <c r="C850" s="16" t="s">
        <v>115</v>
      </c>
    </row>
    <row r="851" spans="1:7" ht="15" customHeight="1" x14ac:dyDescent="0.35">
      <c r="A851" s="15">
        <v>61427</v>
      </c>
      <c r="B851" s="16" t="s">
        <v>114</v>
      </c>
      <c r="C851" s="16" t="s">
        <v>116</v>
      </c>
    </row>
    <row r="852" spans="1:7" ht="15" customHeight="1" x14ac:dyDescent="0.35">
      <c r="A852" s="15">
        <v>61428</v>
      </c>
      <c r="B852" s="16" t="s">
        <v>117</v>
      </c>
      <c r="C852" s="16" t="s">
        <v>116</v>
      </c>
    </row>
    <row r="853" spans="1:7" ht="15" customHeight="1" x14ac:dyDescent="0.35">
      <c r="A853" s="15">
        <v>61473</v>
      </c>
      <c r="B853" s="16" t="s">
        <v>118</v>
      </c>
      <c r="C853" s="16" t="s">
        <v>119</v>
      </c>
    </row>
    <row r="854" spans="1:7" ht="15" customHeight="1" x14ac:dyDescent="0.35">
      <c r="A854" s="15">
        <v>61474</v>
      </c>
      <c r="B854" s="16" t="s">
        <v>120</v>
      </c>
      <c r="C854" s="16" t="s">
        <v>121</v>
      </c>
    </row>
    <row r="855" spans="1:7" ht="15" customHeight="1" x14ac:dyDescent="0.35">
      <c r="A855" s="15">
        <v>61484</v>
      </c>
      <c r="B855" s="16" t="s">
        <v>117</v>
      </c>
      <c r="C855" s="16" t="s">
        <v>122</v>
      </c>
    </row>
    <row r="856" spans="1:7" ht="15" customHeight="1" x14ac:dyDescent="0.35">
      <c r="A856" s="15">
        <v>61535</v>
      </c>
      <c r="B856" s="16" t="s">
        <v>123</v>
      </c>
      <c r="C856" s="16" t="s">
        <v>124</v>
      </c>
    </row>
    <row r="857" spans="1:7" ht="15" customHeight="1" x14ac:dyDescent="0.35">
      <c r="A857" s="15">
        <v>61613</v>
      </c>
      <c r="B857" s="16" t="s">
        <v>118</v>
      </c>
      <c r="C857" s="16" t="s">
        <v>125</v>
      </c>
    </row>
    <row r="858" spans="1:7" ht="15" customHeight="1" x14ac:dyDescent="0.35">
      <c r="A858" s="15">
        <v>61648</v>
      </c>
      <c r="B858" s="16" t="s">
        <v>118</v>
      </c>
      <c r="C858" s="16" t="s">
        <v>126</v>
      </c>
    </row>
    <row r="859" spans="1:7" ht="15" customHeight="1" x14ac:dyDescent="0.35">
      <c r="A859" s="15">
        <v>61669</v>
      </c>
      <c r="B859" s="16" t="s">
        <v>118</v>
      </c>
      <c r="C859" s="16" t="s">
        <v>127</v>
      </c>
    </row>
    <row r="860" spans="1:7" ht="15" customHeight="1" x14ac:dyDescent="0.35">
      <c r="A860" s="15">
        <v>61682</v>
      </c>
      <c r="B860" s="16" t="s">
        <v>123</v>
      </c>
      <c r="C860" s="16" t="s">
        <v>128</v>
      </c>
    </row>
    <row r="861" spans="1:7" ht="15" customHeight="1" x14ac:dyDescent="0.35">
      <c r="A861" s="15">
        <v>61687</v>
      </c>
      <c r="B861" s="16" t="s">
        <v>117</v>
      </c>
      <c r="C861" s="16" t="s">
        <v>132</v>
      </c>
      <c r="G861" s="17"/>
    </row>
    <row r="862" spans="1:7" ht="15" customHeight="1" x14ac:dyDescent="0.35">
      <c r="A862" s="15">
        <v>61722</v>
      </c>
      <c r="B862" s="16" t="s">
        <v>117</v>
      </c>
      <c r="C862" s="16" t="s">
        <v>129</v>
      </c>
    </row>
    <row r="863" spans="1:7" ht="15" customHeight="1" x14ac:dyDescent="0.35">
      <c r="A863" s="13">
        <v>61729</v>
      </c>
      <c r="B863" s="14" t="s">
        <v>117</v>
      </c>
      <c r="C863" s="14" t="s">
        <v>115</v>
      </c>
    </row>
    <row r="864" spans="1:7" ht="15" customHeight="1" x14ac:dyDescent="0.35">
      <c r="A864" s="13">
        <v>61784</v>
      </c>
      <c r="B864" s="14" t="s">
        <v>114</v>
      </c>
      <c r="C864" s="14" t="s">
        <v>116</v>
      </c>
    </row>
    <row r="865" spans="1:7" ht="15" customHeight="1" x14ac:dyDescent="0.35">
      <c r="A865" s="13">
        <v>61785</v>
      </c>
      <c r="B865" s="14" t="s">
        <v>117</v>
      </c>
      <c r="C865" s="14" t="s">
        <v>116</v>
      </c>
    </row>
    <row r="866" spans="1:7" ht="15" customHeight="1" x14ac:dyDescent="0.35">
      <c r="A866" s="13">
        <v>61830</v>
      </c>
      <c r="B866" s="14" t="s">
        <v>118</v>
      </c>
      <c r="C866" s="14" t="s">
        <v>119</v>
      </c>
    </row>
    <row r="867" spans="1:7" ht="15" customHeight="1" x14ac:dyDescent="0.35">
      <c r="A867" s="13">
        <v>61839</v>
      </c>
      <c r="B867" s="14" t="s">
        <v>130</v>
      </c>
      <c r="C867" s="14" t="s">
        <v>121</v>
      </c>
    </row>
    <row r="868" spans="1:7" ht="15" customHeight="1" x14ac:dyDescent="0.35">
      <c r="A868" s="13">
        <v>61849</v>
      </c>
      <c r="B868" s="14" t="s">
        <v>131</v>
      </c>
      <c r="C868" s="14" t="s">
        <v>122</v>
      </c>
    </row>
    <row r="869" spans="1:7" ht="15" customHeight="1" x14ac:dyDescent="0.35">
      <c r="A869" s="13">
        <v>61892</v>
      </c>
      <c r="B869" s="14" t="s">
        <v>123</v>
      </c>
      <c r="C869" s="14" t="s">
        <v>124</v>
      </c>
    </row>
    <row r="870" spans="1:7" ht="15" customHeight="1" x14ac:dyDescent="0.35">
      <c r="A870" s="13">
        <v>61978</v>
      </c>
      <c r="B870" s="14" t="s">
        <v>120</v>
      </c>
      <c r="C870" s="14" t="s">
        <v>125</v>
      </c>
    </row>
    <row r="871" spans="1:7" ht="15" customHeight="1" x14ac:dyDescent="0.35">
      <c r="A871" s="13">
        <v>62013</v>
      </c>
      <c r="B871" s="14" t="s">
        <v>120</v>
      </c>
      <c r="C871" s="14" t="s">
        <v>126</v>
      </c>
    </row>
    <row r="872" spans="1:7" ht="15" customHeight="1" x14ac:dyDescent="0.35">
      <c r="A872" s="13">
        <v>62034</v>
      </c>
      <c r="B872" s="14" t="s">
        <v>120</v>
      </c>
      <c r="C872" s="14" t="s">
        <v>127</v>
      </c>
    </row>
    <row r="873" spans="1:7" ht="15" customHeight="1" x14ac:dyDescent="0.35">
      <c r="A873" s="13">
        <v>62047</v>
      </c>
      <c r="B873" s="14" t="s">
        <v>118</v>
      </c>
      <c r="C873" s="14" t="s">
        <v>128</v>
      </c>
    </row>
    <row r="874" spans="1:7" ht="15" customHeight="1" x14ac:dyDescent="0.35">
      <c r="A874" s="13">
        <v>62052</v>
      </c>
      <c r="B874" s="14" t="s">
        <v>131</v>
      </c>
      <c r="C874" s="14" t="s">
        <v>132</v>
      </c>
      <c r="G874" s="17"/>
    </row>
    <row r="875" spans="1:7" ht="15" customHeight="1" x14ac:dyDescent="0.35">
      <c r="A875" s="13">
        <v>62087</v>
      </c>
      <c r="B875" s="14" t="s">
        <v>131</v>
      </c>
      <c r="C875" s="14" t="s">
        <v>129</v>
      </c>
    </row>
    <row r="876" spans="1:7" ht="15" customHeight="1" x14ac:dyDescent="0.35">
      <c r="A876" s="15">
        <v>62094</v>
      </c>
      <c r="B876" s="16" t="s">
        <v>131</v>
      </c>
      <c r="C876" s="16" t="s">
        <v>115</v>
      </c>
    </row>
    <row r="877" spans="1:7" ht="15" customHeight="1" x14ac:dyDescent="0.35">
      <c r="A877" s="15">
        <v>62134</v>
      </c>
      <c r="B877" s="16" t="s">
        <v>114</v>
      </c>
      <c r="C877" s="16" t="s">
        <v>116</v>
      </c>
    </row>
    <row r="878" spans="1:7" ht="15" customHeight="1" x14ac:dyDescent="0.35">
      <c r="A878" s="15">
        <v>62135</v>
      </c>
      <c r="B878" s="16" t="s">
        <v>117</v>
      </c>
      <c r="C878" s="16" t="s">
        <v>116</v>
      </c>
    </row>
    <row r="879" spans="1:7" ht="15" customHeight="1" x14ac:dyDescent="0.35">
      <c r="A879" s="15">
        <v>62180</v>
      </c>
      <c r="B879" s="16" t="s">
        <v>118</v>
      </c>
      <c r="C879" s="16" t="s">
        <v>119</v>
      </c>
    </row>
    <row r="880" spans="1:7" ht="15" customHeight="1" x14ac:dyDescent="0.35">
      <c r="A880" s="15">
        <v>62204</v>
      </c>
      <c r="B880" s="16" t="s">
        <v>114</v>
      </c>
      <c r="C880" s="16" t="s">
        <v>121</v>
      </c>
    </row>
    <row r="881" spans="1:7" ht="15" customHeight="1" x14ac:dyDescent="0.35">
      <c r="A881" s="15">
        <v>62214</v>
      </c>
      <c r="B881" s="16" t="s">
        <v>123</v>
      </c>
      <c r="C881" s="16" t="s">
        <v>122</v>
      </c>
    </row>
    <row r="882" spans="1:7" ht="15" customHeight="1" x14ac:dyDescent="0.35">
      <c r="A882" s="15">
        <v>62242</v>
      </c>
      <c r="B882" s="16" t="s">
        <v>123</v>
      </c>
      <c r="C882" s="16" t="s">
        <v>124</v>
      </c>
    </row>
    <row r="883" spans="1:7" ht="15" customHeight="1" x14ac:dyDescent="0.35">
      <c r="A883" s="15">
        <v>62343</v>
      </c>
      <c r="B883" s="16" t="s">
        <v>130</v>
      </c>
      <c r="C883" s="16" t="s">
        <v>125</v>
      </c>
    </row>
    <row r="884" spans="1:7" ht="15" customHeight="1" x14ac:dyDescent="0.35">
      <c r="A884" s="15">
        <v>62378</v>
      </c>
      <c r="B884" s="16" t="s">
        <v>130</v>
      </c>
      <c r="C884" s="16" t="s">
        <v>126</v>
      </c>
    </row>
    <row r="885" spans="1:7" ht="15" customHeight="1" x14ac:dyDescent="0.35">
      <c r="A885" s="15">
        <v>62399</v>
      </c>
      <c r="B885" s="16" t="s">
        <v>130</v>
      </c>
      <c r="C885" s="16" t="s">
        <v>127</v>
      </c>
    </row>
    <row r="886" spans="1:7" ht="15" customHeight="1" x14ac:dyDescent="0.35">
      <c r="A886" s="15">
        <v>62412</v>
      </c>
      <c r="B886" s="16" t="s">
        <v>120</v>
      </c>
      <c r="C886" s="16" t="s">
        <v>128</v>
      </c>
    </row>
    <row r="887" spans="1:7" ht="15" customHeight="1" x14ac:dyDescent="0.35">
      <c r="A887" s="15">
        <v>62417</v>
      </c>
      <c r="B887" s="16" t="s">
        <v>123</v>
      </c>
      <c r="C887" s="16" t="s">
        <v>132</v>
      </c>
      <c r="G887" s="17"/>
    </row>
    <row r="888" spans="1:7" ht="15" customHeight="1" x14ac:dyDescent="0.35">
      <c r="A888" s="15">
        <v>62452</v>
      </c>
      <c r="B888" s="16" t="s">
        <v>123</v>
      </c>
      <c r="C888" s="16" t="s">
        <v>129</v>
      </c>
    </row>
    <row r="889" spans="1:7" ht="15" customHeight="1" x14ac:dyDescent="0.35">
      <c r="A889" s="13">
        <v>62459</v>
      </c>
      <c r="B889" s="14" t="s">
        <v>123</v>
      </c>
      <c r="C889" s="14" t="s">
        <v>115</v>
      </c>
    </row>
    <row r="890" spans="1:7" ht="15" customHeight="1" x14ac:dyDescent="0.35">
      <c r="A890" s="13">
        <v>62519</v>
      </c>
      <c r="B890" s="14" t="s">
        <v>114</v>
      </c>
      <c r="C890" s="14" t="s">
        <v>116</v>
      </c>
    </row>
    <row r="891" spans="1:7" ht="15" customHeight="1" x14ac:dyDescent="0.35">
      <c r="A891" s="13">
        <v>62520</v>
      </c>
      <c r="B891" s="14" t="s">
        <v>117</v>
      </c>
      <c r="C891" s="14" t="s">
        <v>116</v>
      </c>
    </row>
    <row r="892" spans="1:7" ht="15" customHeight="1" x14ac:dyDescent="0.35">
      <c r="A892" s="13">
        <v>62565</v>
      </c>
      <c r="B892" s="14" t="s">
        <v>118</v>
      </c>
      <c r="C892" s="14" t="s">
        <v>119</v>
      </c>
    </row>
    <row r="893" spans="1:7" ht="15" customHeight="1" x14ac:dyDescent="0.35">
      <c r="A893" s="13">
        <v>62569</v>
      </c>
      <c r="B893" s="14" t="s">
        <v>117</v>
      </c>
      <c r="C893" s="14" t="s">
        <v>121</v>
      </c>
    </row>
    <row r="894" spans="1:7" ht="15" customHeight="1" x14ac:dyDescent="0.35">
      <c r="A894" s="13">
        <v>62579</v>
      </c>
      <c r="B894" s="14" t="s">
        <v>118</v>
      </c>
      <c r="C894" s="14" t="s">
        <v>122</v>
      </c>
    </row>
    <row r="895" spans="1:7" ht="15" customHeight="1" x14ac:dyDescent="0.35">
      <c r="A895" s="13">
        <v>62627</v>
      </c>
      <c r="B895" s="14" t="s">
        <v>123</v>
      </c>
      <c r="C895" s="14" t="s">
        <v>124</v>
      </c>
    </row>
    <row r="896" spans="1:7" ht="15" customHeight="1" x14ac:dyDescent="0.35">
      <c r="A896" s="13">
        <v>62708</v>
      </c>
      <c r="B896" s="14" t="s">
        <v>114</v>
      </c>
      <c r="C896" s="14" t="s">
        <v>125</v>
      </c>
    </row>
    <row r="897" spans="1:7" ht="15" customHeight="1" x14ac:dyDescent="0.35">
      <c r="A897" s="13">
        <v>62743</v>
      </c>
      <c r="B897" s="14" t="s">
        <v>114</v>
      </c>
      <c r="C897" s="14" t="s">
        <v>126</v>
      </c>
    </row>
    <row r="898" spans="1:7" ht="15" customHeight="1" x14ac:dyDescent="0.35">
      <c r="A898" s="13">
        <v>62764</v>
      </c>
      <c r="B898" s="14" t="s">
        <v>114</v>
      </c>
      <c r="C898" s="14" t="s">
        <v>127</v>
      </c>
    </row>
    <row r="899" spans="1:7" ht="15" customHeight="1" x14ac:dyDescent="0.35">
      <c r="A899" s="13">
        <v>62777</v>
      </c>
      <c r="B899" s="14" t="s">
        <v>130</v>
      </c>
      <c r="C899" s="14" t="s">
        <v>128</v>
      </c>
    </row>
    <row r="900" spans="1:7" ht="15" customHeight="1" x14ac:dyDescent="0.35">
      <c r="A900" s="13">
        <v>62782</v>
      </c>
      <c r="B900" s="14" t="s">
        <v>118</v>
      </c>
      <c r="C900" s="14" t="s">
        <v>132</v>
      </c>
      <c r="G900" s="17"/>
    </row>
    <row r="901" spans="1:7" ht="15" customHeight="1" x14ac:dyDescent="0.35">
      <c r="A901" s="13">
        <v>62817</v>
      </c>
      <c r="B901" s="14" t="s">
        <v>118</v>
      </c>
      <c r="C901" s="14" t="s">
        <v>129</v>
      </c>
    </row>
    <row r="902" spans="1:7" ht="15" customHeight="1" x14ac:dyDescent="0.35">
      <c r="A902" s="15">
        <v>62824</v>
      </c>
      <c r="B902" s="16" t="s">
        <v>118</v>
      </c>
      <c r="C902" s="16" t="s">
        <v>115</v>
      </c>
    </row>
    <row r="903" spans="1:7" ht="15" customHeight="1" x14ac:dyDescent="0.35">
      <c r="A903" s="15">
        <v>62876</v>
      </c>
      <c r="B903" s="16" t="s">
        <v>114</v>
      </c>
      <c r="C903" s="16" t="s">
        <v>116</v>
      </c>
    </row>
    <row r="904" spans="1:7" ht="15" customHeight="1" x14ac:dyDescent="0.35">
      <c r="A904" s="15">
        <v>62877</v>
      </c>
      <c r="B904" s="16" t="s">
        <v>117</v>
      </c>
      <c r="C904" s="16" t="s">
        <v>116</v>
      </c>
    </row>
    <row r="905" spans="1:7" ht="15" customHeight="1" x14ac:dyDescent="0.35">
      <c r="A905" s="15">
        <v>62922</v>
      </c>
      <c r="B905" s="16" t="s">
        <v>118</v>
      </c>
      <c r="C905" s="16" t="s">
        <v>119</v>
      </c>
    </row>
    <row r="906" spans="1:7" ht="15" customHeight="1" x14ac:dyDescent="0.35">
      <c r="A906" s="15">
        <v>62935</v>
      </c>
      <c r="B906" s="16" t="s">
        <v>123</v>
      </c>
      <c r="C906" s="16" t="s">
        <v>121</v>
      </c>
    </row>
    <row r="907" spans="1:7" ht="15" customHeight="1" x14ac:dyDescent="0.35">
      <c r="A907" s="15">
        <v>62945</v>
      </c>
      <c r="B907" s="16" t="s">
        <v>130</v>
      </c>
      <c r="C907" s="16" t="s">
        <v>122</v>
      </c>
    </row>
    <row r="908" spans="1:7" ht="15" customHeight="1" x14ac:dyDescent="0.35">
      <c r="A908" s="15">
        <v>62984</v>
      </c>
      <c r="B908" s="16" t="s">
        <v>123</v>
      </c>
      <c r="C908" s="16" t="s">
        <v>124</v>
      </c>
    </row>
    <row r="909" spans="1:7" ht="15" customHeight="1" x14ac:dyDescent="0.35">
      <c r="A909" s="15">
        <v>63074</v>
      </c>
      <c r="B909" s="16" t="s">
        <v>131</v>
      </c>
      <c r="C909" s="16" t="s">
        <v>125</v>
      </c>
    </row>
    <row r="910" spans="1:7" ht="15" customHeight="1" x14ac:dyDescent="0.35">
      <c r="A910" s="15">
        <v>63109</v>
      </c>
      <c r="B910" s="16" t="s">
        <v>131</v>
      </c>
      <c r="C910" s="16" t="s">
        <v>126</v>
      </c>
    </row>
    <row r="911" spans="1:7" ht="15" customHeight="1" x14ac:dyDescent="0.35">
      <c r="A911" s="15">
        <v>63130</v>
      </c>
      <c r="B911" s="16" t="s">
        <v>131</v>
      </c>
      <c r="C911" s="16" t="s">
        <v>127</v>
      </c>
    </row>
    <row r="912" spans="1:7" ht="15" customHeight="1" x14ac:dyDescent="0.35">
      <c r="A912" s="15">
        <v>63143</v>
      </c>
      <c r="B912" s="16" t="s">
        <v>117</v>
      </c>
      <c r="C912" s="16" t="s">
        <v>128</v>
      </c>
    </row>
    <row r="913" spans="1:7" ht="15" customHeight="1" x14ac:dyDescent="0.35">
      <c r="A913" s="15">
        <v>63148</v>
      </c>
      <c r="B913" s="16" t="s">
        <v>130</v>
      </c>
      <c r="C913" s="16" t="s">
        <v>132</v>
      </c>
      <c r="G913" s="17"/>
    </row>
    <row r="914" spans="1:7" ht="15" customHeight="1" x14ac:dyDescent="0.35">
      <c r="A914" s="15">
        <v>63183</v>
      </c>
      <c r="B914" s="16" t="s">
        <v>130</v>
      </c>
      <c r="C914" s="16" t="s">
        <v>129</v>
      </c>
    </row>
    <row r="915" spans="1:7" ht="15" customHeight="1" x14ac:dyDescent="0.35">
      <c r="A915" s="13">
        <v>63190</v>
      </c>
      <c r="B915" s="14" t="s">
        <v>130</v>
      </c>
      <c r="C915" s="14" t="s">
        <v>115</v>
      </c>
    </row>
    <row r="916" spans="1:7" ht="15" customHeight="1" x14ac:dyDescent="0.35">
      <c r="A916" s="13">
        <v>63226</v>
      </c>
      <c r="B916" s="14" t="s">
        <v>114</v>
      </c>
      <c r="C916" s="14" t="s">
        <v>116</v>
      </c>
    </row>
    <row r="917" spans="1:7" ht="15" customHeight="1" x14ac:dyDescent="0.35">
      <c r="A917" s="13">
        <v>63227</v>
      </c>
      <c r="B917" s="14" t="s">
        <v>117</v>
      </c>
      <c r="C917" s="14" t="s">
        <v>116</v>
      </c>
    </row>
    <row r="918" spans="1:7" ht="15" customHeight="1" x14ac:dyDescent="0.35">
      <c r="A918" s="13">
        <v>63272</v>
      </c>
      <c r="B918" s="14" t="s">
        <v>118</v>
      </c>
      <c r="C918" s="14" t="s">
        <v>119</v>
      </c>
    </row>
    <row r="919" spans="1:7" ht="15" customHeight="1" x14ac:dyDescent="0.35">
      <c r="A919" s="13">
        <v>63300</v>
      </c>
      <c r="B919" s="14" t="s">
        <v>118</v>
      </c>
      <c r="C919" s="14" t="s">
        <v>121</v>
      </c>
    </row>
    <row r="920" spans="1:7" ht="15" customHeight="1" x14ac:dyDescent="0.35">
      <c r="A920" s="13">
        <v>63310</v>
      </c>
      <c r="B920" s="14" t="s">
        <v>114</v>
      </c>
      <c r="C920" s="14" t="s">
        <v>122</v>
      </c>
    </row>
    <row r="921" spans="1:7" ht="15" customHeight="1" x14ac:dyDescent="0.35">
      <c r="A921" s="13">
        <v>63334</v>
      </c>
      <c r="B921" s="14" t="s">
        <v>123</v>
      </c>
      <c r="C921" s="14" t="s">
        <v>124</v>
      </c>
    </row>
    <row r="922" spans="1:7" ht="15" customHeight="1" x14ac:dyDescent="0.35">
      <c r="A922" s="13">
        <v>63439</v>
      </c>
      <c r="B922" s="14" t="s">
        <v>123</v>
      </c>
      <c r="C922" s="14" t="s">
        <v>125</v>
      </c>
    </row>
    <row r="923" spans="1:7" ht="15" customHeight="1" x14ac:dyDescent="0.35">
      <c r="A923" s="13">
        <v>63474</v>
      </c>
      <c r="B923" s="14" t="s">
        <v>123</v>
      </c>
      <c r="C923" s="14" t="s">
        <v>126</v>
      </c>
    </row>
    <row r="924" spans="1:7" ht="15" customHeight="1" x14ac:dyDescent="0.35">
      <c r="A924" s="13">
        <v>63495</v>
      </c>
      <c r="B924" s="14" t="s">
        <v>123</v>
      </c>
      <c r="C924" s="14" t="s">
        <v>127</v>
      </c>
    </row>
    <row r="925" spans="1:7" ht="15" customHeight="1" x14ac:dyDescent="0.35">
      <c r="A925" s="13">
        <v>63508</v>
      </c>
      <c r="B925" s="14" t="s">
        <v>131</v>
      </c>
      <c r="C925" s="14" t="s">
        <v>128</v>
      </c>
    </row>
    <row r="926" spans="1:7" ht="15" customHeight="1" x14ac:dyDescent="0.35">
      <c r="A926" s="13">
        <v>63513</v>
      </c>
      <c r="B926" s="14" t="s">
        <v>114</v>
      </c>
      <c r="C926" s="14" t="s">
        <v>132</v>
      </c>
      <c r="G926" s="17"/>
    </row>
    <row r="927" spans="1:7" ht="15" customHeight="1" x14ac:dyDescent="0.35">
      <c r="A927" s="13">
        <v>63548</v>
      </c>
      <c r="B927" s="14" t="s">
        <v>114</v>
      </c>
      <c r="C927" s="14" t="s">
        <v>129</v>
      </c>
    </row>
    <row r="928" spans="1:7" ht="15" customHeight="1" x14ac:dyDescent="0.35">
      <c r="A928" s="15">
        <v>63555</v>
      </c>
      <c r="B928" s="16" t="s">
        <v>114</v>
      </c>
      <c r="C928" s="16" t="s">
        <v>115</v>
      </c>
    </row>
    <row r="929" spans="1:7" ht="15" customHeight="1" x14ac:dyDescent="0.35">
      <c r="A929" s="15">
        <v>63611</v>
      </c>
      <c r="B929" s="16" t="s">
        <v>114</v>
      </c>
      <c r="C929" s="16" t="s">
        <v>116</v>
      </c>
    </row>
    <row r="930" spans="1:7" ht="15" customHeight="1" x14ac:dyDescent="0.35">
      <c r="A930" s="15">
        <v>63612</v>
      </c>
      <c r="B930" s="16" t="s">
        <v>117</v>
      </c>
      <c r="C930" s="16" t="s">
        <v>116</v>
      </c>
    </row>
    <row r="931" spans="1:7" ht="15" customHeight="1" x14ac:dyDescent="0.35">
      <c r="A931" s="15">
        <v>63657</v>
      </c>
      <c r="B931" s="16" t="s">
        <v>118</v>
      </c>
      <c r="C931" s="16" t="s">
        <v>119</v>
      </c>
    </row>
    <row r="932" spans="1:7" ht="15" customHeight="1" x14ac:dyDescent="0.35">
      <c r="A932" s="15">
        <v>63665</v>
      </c>
      <c r="B932" s="16" t="s">
        <v>120</v>
      </c>
      <c r="C932" s="16" t="s">
        <v>121</v>
      </c>
    </row>
    <row r="933" spans="1:7" ht="15" customHeight="1" x14ac:dyDescent="0.35">
      <c r="A933" s="15">
        <v>63675</v>
      </c>
      <c r="B933" s="16" t="s">
        <v>117</v>
      </c>
      <c r="C933" s="16" t="s">
        <v>122</v>
      </c>
    </row>
    <row r="934" spans="1:7" ht="15" customHeight="1" x14ac:dyDescent="0.35">
      <c r="A934" s="15">
        <v>63719</v>
      </c>
      <c r="B934" s="16" t="s">
        <v>123</v>
      </c>
      <c r="C934" s="16" t="s">
        <v>124</v>
      </c>
    </row>
    <row r="935" spans="1:7" ht="15" customHeight="1" x14ac:dyDescent="0.35">
      <c r="A935" s="15">
        <v>63804</v>
      </c>
      <c r="B935" s="16" t="s">
        <v>118</v>
      </c>
      <c r="C935" s="16" t="s">
        <v>125</v>
      </c>
    </row>
    <row r="936" spans="1:7" ht="15" customHeight="1" x14ac:dyDescent="0.35">
      <c r="A936" s="15">
        <v>63839</v>
      </c>
      <c r="B936" s="16" t="s">
        <v>118</v>
      </c>
      <c r="C936" s="16" t="s">
        <v>126</v>
      </c>
    </row>
    <row r="937" spans="1:7" ht="15" customHeight="1" x14ac:dyDescent="0.35">
      <c r="A937" s="15">
        <v>63860</v>
      </c>
      <c r="B937" s="16" t="s">
        <v>118</v>
      </c>
      <c r="C937" s="16" t="s">
        <v>127</v>
      </c>
    </row>
    <row r="938" spans="1:7" ht="15" customHeight="1" x14ac:dyDescent="0.35">
      <c r="A938" s="15">
        <v>63873</v>
      </c>
      <c r="B938" s="16" t="s">
        <v>123</v>
      </c>
      <c r="C938" s="16" t="s">
        <v>128</v>
      </c>
    </row>
    <row r="939" spans="1:7" ht="15" customHeight="1" x14ac:dyDescent="0.35">
      <c r="A939" s="15">
        <v>63878</v>
      </c>
      <c r="B939" s="16" t="s">
        <v>117</v>
      </c>
      <c r="C939" s="16" t="s">
        <v>132</v>
      </c>
      <c r="G939" s="17"/>
    </row>
    <row r="940" spans="1:7" ht="15" customHeight="1" x14ac:dyDescent="0.35">
      <c r="A940" s="15">
        <v>63913</v>
      </c>
      <c r="B940" s="16" t="s">
        <v>117</v>
      </c>
      <c r="C940" s="16" t="s">
        <v>129</v>
      </c>
    </row>
    <row r="941" spans="1:7" ht="15" customHeight="1" x14ac:dyDescent="0.35">
      <c r="A941" s="13">
        <v>63920</v>
      </c>
      <c r="B941" s="14" t="s">
        <v>117</v>
      </c>
      <c r="C941" s="14" t="s">
        <v>115</v>
      </c>
    </row>
    <row r="942" spans="1:7" ht="15" customHeight="1" x14ac:dyDescent="0.35">
      <c r="A942" s="13">
        <v>63968</v>
      </c>
      <c r="B942" s="14" t="s">
        <v>114</v>
      </c>
      <c r="C942" s="14" t="s">
        <v>116</v>
      </c>
    </row>
    <row r="943" spans="1:7" ht="15" customHeight="1" x14ac:dyDescent="0.35">
      <c r="A943" s="13">
        <v>63969</v>
      </c>
      <c r="B943" s="14" t="s">
        <v>117</v>
      </c>
      <c r="C943" s="14" t="s">
        <v>116</v>
      </c>
    </row>
    <row r="944" spans="1:7" ht="15" customHeight="1" x14ac:dyDescent="0.35">
      <c r="A944" s="13">
        <v>64014</v>
      </c>
      <c r="B944" s="14" t="s">
        <v>118</v>
      </c>
      <c r="C944" s="14" t="s">
        <v>119</v>
      </c>
    </row>
    <row r="945" spans="1:7" ht="15" customHeight="1" x14ac:dyDescent="0.35">
      <c r="A945" s="13">
        <v>64030</v>
      </c>
      <c r="B945" s="14" t="s">
        <v>130</v>
      </c>
      <c r="C945" s="14" t="s">
        <v>121</v>
      </c>
    </row>
    <row r="946" spans="1:7" ht="15" customHeight="1" x14ac:dyDescent="0.35">
      <c r="A946" s="13">
        <v>64040</v>
      </c>
      <c r="B946" s="14" t="s">
        <v>131</v>
      </c>
      <c r="C946" s="14" t="s">
        <v>122</v>
      </c>
    </row>
    <row r="947" spans="1:7" ht="15" customHeight="1" x14ac:dyDescent="0.35">
      <c r="A947" s="13">
        <v>64076</v>
      </c>
      <c r="B947" s="14" t="s">
        <v>123</v>
      </c>
      <c r="C947" s="14" t="s">
        <v>124</v>
      </c>
    </row>
    <row r="948" spans="1:7" ht="15" customHeight="1" x14ac:dyDescent="0.35">
      <c r="A948" s="13">
        <v>64169</v>
      </c>
      <c r="B948" s="14" t="s">
        <v>120</v>
      </c>
      <c r="C948" s="14" t="s">
        <v>125</v>
      </c>
    </row>
    <row r="949" spans="1:7" ht="15" customHeight="1" x14ac:dyDescent="0.35">
      <c r="A949" s="13">
        <v>64204</v>
      </c>
      <c r="B949" s="14" t="s">
        <v>120</v>
      </c>
      <c r="C949" s="14" t="s">
        <v>126</v>
      </c>
    </row>
    <row r="950" spans="1:7" ht="15" customHeight="1" x14ac:dyDescent="0.35">
      <c r="A950" s="13">
        <v>64225</v>
      </c>
      <c r="B950" s="14" t="s">
        <v>120</v>
      </c>
      <c r="C950" s="14" t="s">
        <v>127</v>
      </c>
    </row>
    <row r="951" spans="1:7" ht="15" customHeight="1" x14ac:dyDescent="0.35">
      <c r="A951" s="13">
        <v>64238</v>
      </c>
      <c r="B951" s="14" t="s">
        <v>118</v>
      </c>
      <c r="C951" s="14" t="s">
        <v>128</v>
      </c>
    </row>
    <row r="952" spans="1:7" ht="15" customHeight="1" x14ac:dyDescent="0.35">
      <c r="A952" s="13">
        <v>64243</v>
      </c>
      <c r="B952" s="14" t="s">
        <v>131</v>
      </c>
      <c r="C952" s="14" t="s">
        <v>132</v>
      </c>
      <c r="G952" s="17"/>
    </row>
    <row r="953" spans="1:7" ht="15" customHeight="1" x14ac:dyDescent="0.35">
      <c r="A953" s="13">
        <v>64278</v>
      </c>
      <c r="B953" s="14" t="s">
        <v>131</v>
      </c>
      <c r="C953" s="14" t="s">
        <v>129</v>
      </c>
    </row>
    <row r="954" spans="1:7" ht="15" customHeight="1" x14ac:dyDescent="0.35">
      <c r="A954" s="15">
        <v>64285</v>
      </c>
      <c r="B954" s="16" t="s">
        <v>131</v>
      </c>
      <c r="C954" s="16" t="s">
        <v>115</v>
      </c>
    </row>
    <row r="955" spans="1:7" ht="15" customHeight="1" x14ac:dyDescent="0.35">
      <c r="A955" s="15">
        <v>64346</v>
      </c>
      <c r="B955" s="16" t="s">
        <v>114</v>
      </c>
      <c r="C955" s="16" t="s">
        <v>116</v>
      </c>
    </row>
    <row r="956" spans="1:7" ht="15" customHeight="1" x14ac:dyDescent="0.35">
      <c r="A956" s="15">
        <v>64347</v>
      </c>
      <c r="B956" s="16" t="s">
        <v>117</v>
      </c>
      <c r="C956" s="16" t="s">
        <v>116</v>
      </c>
    </row>
    <row r="957" spans="1:7" ht="15" customHeight="1" x14ac:dyDescent="0.35">
      <c r="A957" s="15">
        <v>64392</v>
      </c>
      <c r="B957" s="16" t="s">
        <v>118</v>
      </c>
      <c r="C957" s="16" t="s">
        <v>119</v>
      </c>
    </row>
    <row r="958" spans="1:7" ht="15" customHeight="1" x14ac:dyDescent="0.35">
      <c r="A958" s="15">
        <v>64396</v>
      </c>
      <c r="B958" s="16" t="s">
        <v>117</v>
      </c>
      <c r="C958" s="16" t="s">
        <v>121</v>
      </c>
    </row>
    <row r="959" spans="1:7" ht="15" customHeight="1" x14ac:dyDescent="0.35">
      <c r="A959" s="15">
        <v>64406</v>
      </c>
      <c r="B959" s="16" t="s">
        <v>118</v>
      </c>
      <c r="C959" s="16" t="s">
        <v>122</v>
      </c>
    </row>
    <row r="960" spans="1:7" ht="15" customHeight="1" x14ac:dyDescent="0.35">
      <c r="A960" s="15">
        <v>64454</v>
      </c>
      <c r="B960" s="16" t="s">
        <v>123</v>
      </c>
      <c r="C960" s="16" t="s">
        <v>124</v>
      </c>
    </row>
    <row r="961" spans="1:7" ht="15" customHeight="1" x14ac:dyDescent="0.35">
      <c r="A961" s="15">
        <v>64535</v>
      </c>
      <c r="B961" s="16" t="s">
        <v>114</v>
      </c>
      <c r="C961" s="16" t="s">
        <v>125</v>
      </c>
    </row>
    <row r="962" spans="1:7" ht="15" customHeight="1" x14ac:dyDescent="0.35">
      <c r="A962" s="15">
        <v>64570</v>
      </c>
      <c r="B962" s="16" t="s">
        <v>114</v>
      </c>
      <c r="C962" s="16" t="s">
        <v>126</v>
      </c>
    </row>
    <row r="963" spans="1:7" ht="15" customHeight="1" x14ac:dyDescent="0.35">
      <c r="A963" s="15">
        <v>64591</v>
      </c>
      <c r="B963" s="16" t="s">
        <v>114</v>
      </c>
      <c r="C963" s="16" t="s">
        <v>127</v>
      </c>
    </row>
    <row r="964" spans="1:7" ht="15" customHeight="1" x14ac:dyDescent="0.35">
      <c r="A964" s="15">
        <v>64604</v>
      </c>
      <c r="B964" s="16" t="s">
        <v>130</v>
      </c>
      <c r="C964" s="16" t="s">
        <v>128</v>
      </c>
    </row>
    <row r="965" spans="1:7" ht="15" customHeight="1" x14ac:dyDescent="0.35">
      <c r="A965" s="15">
        <v>64609</v>
      </c>
      <c r="B965" s="16" t="s">
        <v>118</v>
      </c>
      <c r="C965" s="16" t="s">
        <v>132</v>
      </c>
      <c r="G965" s="17"/>
    </row>
    <row r="966" spans="1:7" ht="15" customHeight="1" x14ac:dyDescent="0.35">
      <c r="A966" s="15">
        <v>64644</v>
      </c>
      <c r="B966" s="16" t="s">
        <v>118</v>
      </c>
      <c r="C966" s="16" t="s">
        <v>129</v>
      </c>
    </row>
    <row r="967" spans="1:7" ht="15" customHeight="1" x14ac:dyDescent="0.35">
      <c r="A967" s="13">
        <v>64651</v>
      </c>
      <c r="B967" s="14" t="s">
        <v>118</v>
      </c>
      <c r="C967" s="14" t="s">
        <v>115</v>
      </c>
    </row>
    <row r="968" spans="1:7" ht="15" customHeight="1" x14ac:dyDescent="0.35">
      <c r="A968" s="13">
        <v>64703</v>
      </c>
      <c r="B968" s="14" t="s">
        <v>114</v>
      </c>
      <c r="C968" s="14" t="s">
        <v>116</v>
      </c>
    </row>
    <row r="969" spans="1:7" ht="15" customHeight="1" x14ac:dyDescent="0.35">
      <c r="A969" s="13">
        <v>64704</v>
      </c>
      <c r="B969" s="14" t="s">
        <v>117</v>
      </c>
      <c r="C969" s="14" t="s">
        <v>116</v>
      </c>
    </row>
    <row r="970" spans="1:7" ht="15" customHeight="1" x14ac:dyDescent="0.35">
      <c r="A970" s="13">
        <v>64749</v>
      </c>
      <c r="B970" s="14" t="s">
        <v>118</v>
      </c>
      <c r="C970" s="14" t="s">
        <v>119</v>
      </c>
    </row>
    <row r="971" spans="1:7" ht="15" customHeight="1" x14ac:dyDescent="0.35">
      <c r="A971" s="13">
        <v>64761</v>
      </c>
      <c r="B971" s="14" t="s">
        <v>131</v>
      </c>
      <c r="C971" s="14" t="s">
        <v>121</v>
      </c>
    </row>
    <row r="972" spans="1:7" ht="15" customHeight="1" x14ac:dyDescent="0.35">
      <c r="A972" s="13">
        <v>64771</v>
      </c>
      <c r="B972" s="14" t="s">
        <v>120</v>
      </c>
      <c r="C972" s="14" t="s">
        <v>122</v>
      </c>
    </row>
    <row r="973" spans="1:7" ht="15" customHeight="1" x14ac:dyDescent="0.35">
      <c r="A973" s="13">
        <v>64811</v>
      </c>
      <c r="B973" s="14" t="s">
        <v>123</v>
      </c>
      <c r="C973" s="14" t="s">
        <v>124</v>
      </c>
    </row>
    <row r="974" spans="1:7" ht="15" customHeight="1" x14ac:dyDescent="0.35">
      <c r="A974" s="13">
        <v>64900</v>
      </c>
      <c r="B974" s="14" t="s">
        <v>117</v>
      </c>
      <c r="C974" s="14" t="s">
        <v>125</v>
      </c>
    </row>
    <row r="975" spans="1:7" ht="15" customHeight="1" x14ac:dyDescent="0.35">
      <c r="A975" s="13">
        <v>64935</v>
      </c>
      <c r="B975" s="14" t="s">
        <v>117</v>
      </c>
      <c r="C975" s="14" t="s">
        <v>126</v>
      </c>
    </row>
    <row r="976" spans="1:7" ht="15" customHeight="1" x14ac:dyDescent="0.35">
      <c r="A976" s="13">
        <v>64956</v>
      </c>
      <c r="B976" s="14" t="s">
        <v>117</v>
      </c>
      <c r="C976" s="14" t="s">
        <v>127</v>
      </c>
    </row>
    <row r="977" spans="1:7" ht="15" customHeight="1" x14ac:dyDescent="0.35">
      <c r="A977" s="13">
        <v>64969</v>
      </c>
      <c r="B977" s="14" t="s">
        <v>114</v>
      </c>
      <c r="C977" s="14" t="s">
        <v>128</v>
      </c>
    </row>
    <row r="978" spans="1:7" ht="15" customHeight="1" x14ac:dyDescent="0.35">
      <c r="A978" s="13">
        <v>64974</v>
      </c>
      <c r="B978" s="14" t="s">
        <v>120</v>
      </c>
      <c r="C978" s="14" t="s">
        <v>132</v>
      </c>
      <c r="G978" s="17"/>
    </row>
    <row r="979" spans="1:7" ht="15" customHeight="1" x14ac:dyDescent="0.35">
      <c r="A979" s="13">
        <v>65009</v>
      </c>
      <c r="B979" s="14" t="s">
        <v>120</v>
      </c>
      <c r="C979" s="14" t="s">
        <v>129</v>
      </c>
    </row>
    <row r="980" spans="1:7" ht="15" customHeight="1" x14ac:dyDescent="0.35">
      <c r="A980" s="15">
        <v>65016</v>
      </c>
      <c r="B980" s="16" t="s">
        <v>120</v>
      </c>
      <c r="C980" s="16" t="s">
        <v>115</v>
      </c>
    </row>
    <row r="981" spans="1:7" ht="15" customHeight="1" x14ac:dyDescent="0.35">
      <c r="A981" s="15">
        <v>65060</v>
      </c>
      <c r="B981" s="16" t="s">
        <v>114</v>
      </c>
      <c r="C981" s="16" t="s">
        <v>116</v>
      </c>
    </row>
    <row r="982" spans="1:7" ht="15" customHeight="1" x14ac:dyDescent="0.35">
      <c r="A982" s="15">
        <v>65061</v>
      </c>
      <c r="B982" s="16" t="s">
        <v>117</v>
      </c>
      <c r="C982" s="16" t="s">
        <v>116</v>
      </c>
    </row>
    <row r="983" spans="1:7" ht="15" customHeight="1" x14ac:dyDescent="0.35">
      <c r="A983" s="15">
        <v>65106</v>
      </c>
      <c r="B983" s="16" t="s">
        <v>118</v>
      </c>
      <c r="C983" s="16" t="s">
        <v>119</v>
      </c>
    </row>
    <row r="984" spans="1:7" ht="15" customHeight="1" x14ac:dyDescent="0.35">
      <c r="A984" s="15">
        <v>65126</v>
      </c>
      <c r="B984" s="16" t="s">
        <v>123</v>
      </c>
      <c r="C984" s="16" t="s">
        <v>121</v>
      </c>
    </row>
    <row r="985" spans="1:7" ht="15" customHeight="1" x14ac:dyDescent="0.35">
      <c r="A985" s="15">
        <v>65136</v>
      </c>
      <c r="B985" s="16" t="s">
        <v>130</v>
      </c>
      <c r="C985" s="16" t="s">
        <v>122</v>
      </c>
    </row>
    <row r="986" spans="1:7" ht="15" customHeight="1" x14ac:dyDescent="0.35">
      <c r="A986" s="15">
        <v>65168</v>
      </c>
      <c r="B986" s="16" t="s">
        <v>123</v>
      </c>
      <c r="C986" s="16" t="s">
        <v>124</v>
      </c>
    </row>
    <row r="987" spans="1:7" ht="15" customHeight="1" x14ac:dyDescent="0.35">
      <c r="A987" s="15">
        <v>65265</v>
      </c>
      <c r="B987" s="16" t="s">
        <v>131</v>
      </c>
      <c r="C987" s="16" t="s">
        <v>125</v>
      </c>
    </row>
    <row r="988" spans="1:7" ht="15" customHeight="1" x14ac:dyDescent="0.35">
      <c r="A988" s="15">
        <v>65300</v>
      </c>
      <c r="B988" s="16" t="s">
        <v>131</v>
      </c>
      <c r="C988" s="16" t="s">
        <v>126</v>
      </c>
    </row>
    <row r="989" spans="1:7" ht="15" customHeight="1" x14ac:dyDescent="0.35">
      <c r="A989" s="15">
        <v>65321</v>
      </c>
      <c r="B989" s="16" t="s">
        <v>131</v>
      </c>
      <c r="C989" s="16" t="s">
        <v>127</v>
      </c>
    </row>
    <row r="990" spans="1:7" ht="15" customHeight="1" x14ac:dyDescent="0.35">
      <c r="A990" s="15">
        <v>65334</v>
      </c>
      <c r="B990" s="16" t="s">
        <v>117</v>
      </c>
      <c r="C990" s="16" t="s">
        <v>128</v>
      </c>
    </row>
    <row r="991" spans="1:7" ht="15" customHeight="1" x14ac:dyDescent="0.35">
      <c r="A991" s="15">
        <v>65339</v>
      </c>
      <c r="B991" s="16" t="s">
        <v>130</v>
      </c>
      <c r="C991" s="16" t="s">
        <v>132</v>
      </c>
      <c r="G991" s="17"/>
    </row>
    <row r="992" spans="1:7" ht="15" customHeight="1" x14ac:dyDescent="0.35">
      <c r="A992" s="15">
        <v>65374</v>
      </c>
      <c r="B992" s="16" t="s">
        <v>130</v>
      </c>
      <c r="C992" s="16" t="s">
        <v>129</v>
      </c>
    </row>
    <row r="993" spans="1:7" ht="15" customHeight="1" x14ac:dyDescent="0.35">
      <c r="A993" s="13">
        <v>65381</v>
      </c>
      <c r="B993" s="14" t="s">
        <v>130</v>
      </c>
      <c r="C993" s="14" t="s">
        <v>115</v>
      </c>
    </row>
    <row r="994" spans="1:7" ht="15" customHeight="1" x14ac:dyDescent="0.35">
      <c r="A994" s="13">
        <v>65445</v>
      </c>
      <c r="B994" s="14" t="s">
        <v>114</v>
      </c>
      <c r="C994" s="14" t="s">
        <v>116</v>
      </c>
    </row>
    <row r="995" spans="1:7" ht="15" customHeight="1" x14ac:dyDescent="0.35">
      <c r="A995" s="13">
        <v>65446</v>
      </c>
      <c r="B995" s="14" t="s">
        <v>117</v>
      </c>
      <c r="C995" s="14" t="s">
        <v>116</v>
      </c>
    </row>
    <row r="996" spans="1:7" ht="15" customHeight="1" x14ac:dyDescent="0.35">
      <c r="A996" s="13">
        <v>65491</v>
      </c>
      <c r="B996" s="14" t="s">
        <v>118</v>
      </c>
      <c r="C996" s="14" t="s">
        <v>119</v>
      </c>
    </row>
    <row r="997" spans="1:7" ht="15" customHeight="1" x14ac:dyDescent="0.35">
      <c r="A997" s="13">
        <v>65491</v>
      </c>
      <c r="B997" s="14" t="s">
        <v>118</v>
      </c>
      <c r="C997" s="14" t="s">
        <v>121</v>
      </c>
    </row>
    <row r="998" spans="1:7" ht="15" customHeight="1" x14ac:dyDescent="0.35">
      <c r="A998" s="13">
        <v>65501</v>
      </c>
      <c r="B998" s="14" t="s">
        <v>114</v>
      </c>
      <c r="C998" s="14" t="s">
        <v>122</v>
      </c>
    </row>
    <row r="999" spans="1:7" ht="15" customHeight="1" x14ac:dyDescent="0.35">
      <c r="A999" s="13">
        <v>65553</v>
      </c>
      <c r="B999" s="14" t="s">
        <v>123</v>
      </c>
      <c r="C999" s="14" t="s">
        <v>124</v>
      </c>
    </row>
    <row r="1000" spans="1:7" ht="15" customHeight="1" x14ac:dyDescent="0.35">
      <c r="A1000" s="13">
        <v>65630</v>
      </c>
      <c r="B1000" s="14" t="s">
        <v>123</v>
      </c>
      <c r="C1000" s="14" t="s">
        <v>125</v>
      </c>
    </row>
    <row r="1001" spans="1:7" ht="15" customHeight="1" x14ac:dyDescent="0.35">
      <c r="A1001" s="13">
        <v>65665</v>
      </c>
      <c r="B1001" s="14" t="s">
        <v>123</v>
      </c>
      <c r="C1001" s="14" t="s">
        <v>126</v>
      </c>
    </row>
    <row r="1002" spans="1:7" ht="15" customHeight="1" x14ac:dyDescent="0.35">
      <c r="A1002" s="13">
        <v>65686</v>
      </c>
      <c r="B1002" s="14" t="s">
        <v>123</v>
      </c>
      <c r="C1002" s="14" t="s">
        <v>127</v>
      </c>
    </row>
    <row r="1003" spans="1:7" ht="15" customHeight="1" x14ac:dyDescent="0.35">
      <c r="A1003" s="13">
        <v>65699</v>
      </c>
      <c r="B1003" s="14" t="s">
        <v>131</v>
      </c>
      <c r="C1003" s="14" t="s">
        <v>128</v>
      </c>
    </row>
    <row r="1004" spans="1:7" ht="15" customHeight="1" x14ac:dyDescent="0.35">
      <c r="A1004" s="13">
        <v>65704</v>
      </c>
      <c r="B1004" s="14" t="s">
        <v>114</v>
      </c>
      <c r="C1004" s="14" t="s">
        <v>132</v>
      </c>
      <c r="G1004" s="17"/>
    </row>
    <row r="1005" spans="1:7" ht="15" customHeight="1" x14ac:dyDescent="0.35">
      <c r="A1005" s="13">
        <v>65739</v>
      </c>
      <c r="B1005" s="14" t="s">
        <v>114</v>
      </c>
      <c r="C1005" s="14" t="s">
        <v>129</v>
      </c>
    </row>
    <row r="1006" spans="1:7" ht="15" customHeight="1" x14ac:dyDescent="0.35">
      <c r="A1006" s="15">
        <v>65746</v>
      </c>
      <c r="B1006" s="16" t="s">
        <v>114</v>
      </c>
      <c r="C1006" s="16" t="s">
        <v>115</v>
      </c>
    </row>
    <row r="1007" spans="1:7" ht="15" customHeight="1" x14ac:dyDescent="0.35">
      <c r="A1007" s="15">
        <v>65795</v>
      </c>
      <c r="B1007" s="16" t="s">
        <v>114</v>
      </c>
      <c r="C1007" s="16" t="s">
        <v>116</v>
      </c>
    </row>
    <row r="1008" spans="1:7" ht="15" customHeight="1" x14ac:dyDescent="0.35">
      <c r="A1008" s="15">
        <v>65796</v>
      </c>
      <c r="B1008" s="16" t="s">
        <v>117</v>
      </c>
      <c r="C1008" s="16" t="s">
        <v>116</v>
      </c>
    </row>
    <row r="1009" spans="1:7" ht="15" customHeight="1" x14ac:dyDescent="0.35">
      <c r="A1009" s="15">
        <v>65841</v>
      </c>
      <c r="B1009" s="16" t="s">
        <v>118</v>
      </c>
      <c r="C1009" s="16" t="s">
        <v>119</v>
      </c>
    </row>
    <row r="1010" spans="1:7" ht="15" customHeight="1" x14ac:dyDescent="0.35">
      <c r="A1010" s="15">
        <v>65857</v>
      </c>
      <c r="B1010" s="16" t="s">
        <v>130</v>
      </c>
      <c r="C1010" s="16" t="s">
        <v>121</v>
      </c>
    </row>
    <row r="1011" spans="1:7" ht="15" customHeight="1" x14ac:dyDescent="0.35">
      <c r="A1011" s="15">
        <v>65867</v>
      </c>
      <c r="B1011" s="16" t="s">
        <v>131</v>
      </c>
      <c r="C1011" s="16" t="s">
        <v>122</v>
      </c>
    </row>
    <row r="1012" spans="1:7" ht="15" customHeight="1" x14ac:dyDescent="0.35">
      <c r="A1012" s="15">
        <v>65903</v>
      </c>
      <c r="B1012" s="16" t="s">
        <v>123</v>
      </c>
      <c r="C1012" s="16" t="s">
        <v>124</v>
      </c>
    </row>
    <row r="1013" spans="1:7" ht="15" customHeight="1" x14ac:dyDescent="0.35">
      <c r="A1013" s="15">
        <v>65996</v>
      </c>
      <c r="B1013" s="16" t="s">
        <v>120</v>
      </c>
      <c r="C1013" s="16" t="s">
        <v>125</v>
      </c>
    </row>
    <row r="1014" spans="1:7" ht="15" customHeight="1" x14ac:dyDescent="0.35">
      <c r="A1014" s="15">
        <v>66031</v>
      </c>
      <c r="B1014" s="16" t="s">
        <v>120</v>
      </c>
      <c r="C1014" s="16" t="s">
        <v>126</v>
      </c>
    </row>
    <row r="1015" spans="1:7" ht="15" customHeight="1" x14ac:dyDescent="0.35">
      <c r="A1015" s="15">
        <v>66052</v>
      </c>
      <c r="B1015" s="16" t="s">
        <v>120</v>
      </c>
      <c r="C1015" s="16" t="s">
        <v>127</v>
      </c>
    </row>
    <row r="1016" spans="1:7" ht="15" customHeight="1" x14ac:dyDescent="0.35">
      <c r="A1016" s="15">
        <v>66065</v>
      </c>
      <c r="B1016" s="16" t="s">
        <v>118</v>
      </c>
      <c r="C1016" s="16" t="s">
        <v>128</v>
      </c>
    </row>
    <row r="1017" spans="1:7" ht="15" customHeight="1" x14ac:dyDescent="0.35">
      <c r="A1017" s="15">
        <v>66070</v>
      </c>
      <c r="B1017" s="16" t="s">
        <v>131</v>
      </c>
      <c r="C1017" s="16" t="s">
        <v>132</v>
      </c>
      <c r="G1017" s="17"/>
    </row>
    <row r="1018" spans="1:7" ht="15" customHeight="1" x14ac:dyDescent="0.35">
      <c r="A1018" s="15">
        <v>66105</v>
      </c>
      <c r="B1018" s="16" t="s">
        <v>131</v>
      </c>
      <c r="C1018" s="16" t="s">
        <v>129</v>
      </c>
    </row>
    <row r="1019" spans="1:7" ht="15" customHeight="1" x14ac:dyDescent="0.35">
      <c r="A1019" s="13">
        <v>66112</v>
      </c>
      <c r="B1019" s="14" t="s">
        <v>131</v>
      </c>
      <c r="C1019" s="14" t="s">
        <v>115</v>
      </c>
    </row>
    <row r="1020" spans="1:7" ht="15" customHeight="1" x14ac:dyDescent="0.35">
      <c r="A1020" s="13">
        <v>66152</v>
      </c>
      <c r="B1020" s="14" t="s">
        <v>114</v>
      </c>
      <c r="C1020" s="14" t="s">
        <v>116</v>
      </c>
    </row>
    <row r="1021" spans="1:7" ht="15" customHeight="1" x14ac:dyDescent="0.35">
      <c r="A1021" s="13">
        <v>66153</v>
      </c>
      <c r="B1021" s="14" t="s">
        <v>117</v>
      </c>
      <c r="C1021" s="14" t="s">
        <v>116</v>
      </c>
    </row>
    <row r="1022" spans="1:7" ht="15" customHeight="1" x14ac:dyDescent="0.35">
      <c r="A1022" s="13">
        <v>66198</v>
      </c>
      <c r="B1022" s="14" t="s">
        <v>118</v>
      </c>
      <c r="C1022" s="14" t="s">
        <v>119</v>
      </c>
    </row>
    <row r="1023" spans="1:7" ht="15" customHeight="1" x14ac:dyDescent="0.35">
      <c r="A1023" s="13">
        <v>66222</v>
      </c>
      <c r="B1023" s="14" t="s">
        <v>114</v>
      </c>
      <c r="C1023" s="14" t="s">
        <v>121</v>
      </c>
    </row>
    <row r="1024" spans="1:7" ht="15" customHeight="1" x14ac:dyDescent="0.35">
      <c r="A1024" s="13">
        <v>66232</v>
      </c>
      <c r="B1024" s="14" t="s">
        <v>123</v>
      </c>
      <c r="C1024" s="14" t="s">
        <v>122</v>
      </c>
    </row>
    <row r="1025" spans="1:7" ht="15" customHeight="1" x14ac:dyDescent="0.35">
      <c r="A1025" s="13">
        <v>66260</v>
      </c>
      <c r="B1025" s="14" t="s">
        <v>123</v>
      </c>
      <c r="C1025" s="14" t="s">
        <v>124</v>
      </c>
    </row>
    <row r="1026" spans="1:7" ht="15" customHeight="1" x14ac:dyDescent="0.35">
      <c r="A1026" s="13">
        <v>66361</v>
      </c>
      <c r="B1026" s="14" t="s">
        <v>130</v>
      </c>
      <c r="C1026" s="14" t="s">
        <v>125</v>
      </c>
    </row>
    <row r="1027" spans="1:7" ht="15" customHeight="1" x14ac:dyDescent="0.35">
      <c r="A1027" s="13">
        <v>66396</v>
      </c>
      <c r="B1027" s="14" t="s">
        <v>130</v>
      </c>
      <c r="C1027" s="14" t="s">
        <v>126</v>
      </c>
    </row>
    <row r="1028" spans="1:7" ht="15" customHeight="1" x14ac:dyDescent="0.35">
      <c r="A1028" s="13">
        <v>66417</v>
      </c>
      <c r="B1028" s="14" t="s">
        <v>130</v>
      </c>
      <c r="C1028" s="14" t="s">
        <v>127</v>
      </c>
    </row>
    <row r="1029" spans="1:7" ht="15" customHeight="1" x14ac:dyDescent="0.35">
      <c r="A1029" s="13">
        <v>66430</v>
      </c>
      <c r="B1029" s="14" t="s">
        <v>120</v>
      </c>
      <c r="C1029" s="14" t="s">
        <v>128</v>
      </c>
    </row>
    <row r="1030" spans="1:7" ht="15" customHeight="1" x14ac:dyDescent="0.35">
      <c r="A1030" s="13">
        <v>66435</v>
      </c>
      <c r="B1030" s="14" t="s">
        <v>123</v>
      </c>
      <c r="C1030" s="14" t="s">
        <v>132</v>
      </c>
      <c r="G1030" s="17"/>
    </row>
    <row r="1031" spans="1:7" ht="15" customHeight="1" x14ac:dyDescent="0.35">
      <c r="A1031" s="13">
        <v>66470</v>
      </c>
      <c r="B1031" s="14" t="s">
        <v>123</v>
      </c>
      <c r="C1031" s="14" t="s">
        <v>129</v>
      </c>
    </row>
    <row r="1032" spans="1:7" ht="15" customHeight="1" x14ac:dyDescent="0.35">
      <c r="A1032" s="15">
        <v>66477</v>
      </c>
      <c r="B1032" s="16" t="s">
        <v>123</v>
      </c>
      <c r="C1032" s="16" t="s">
        <v>115</v>
      </c>
    </row>
    <row r="1033" spans="1:7" ht="15" customHeight="1" x14ac:dyDescent="0.35">
      <c r="A1033" s="15">
        <v>66537</v>
      </c>
      <c r="B1033" s="16" t="s">
        <v>114</v>
      </c>
      <c r="C1033" s="16" t="s">
        <v>116</v>
      </c>
    </row>
    <row r="1034" spans="1:7" ht="15" customHeight="1" x14ac:dyDescent="0.35">
      <c r="A1034" s="15">
        <v>66538</v>
      </c>
      <c r="B1034" s="16" t="s">
        <v>117</v>
      </c>
      <c r="C1034" s="16" t="s">
        <v>116</v>
      </c>
    </row>
    <row r="1035" spans="1:7" ht="15" customHeight="1" x14ac:dyDescent="0.35">
      <c r="A1035" s="15">
        <v>66583</v>
      </c>
      <c r="B1035" s="16" t="s">
        <v>118</v>
      </c>
      <c r="C1035" s="16" t="s">
        <v>119</v>
      </c>
    </row>
    <row r="1036" spans="1:7" ht="15" customHeight="1" x14ac:dyDescent="0.35">
      <c r="A1036" s="15">
        <v>66587</v>
      </c>
      <c r="B1036" s="16" t="s">
        <v>117</v>
      </c>
      <c r="C1036" s="16" t="s">
        <v>121</v>
      </c>
    </row>
    <row r="1037" spans="1:7" ht="15" customHeight="1" x14ac:dyDescent="0.35">
      <c r="A1037" s="15">
        <v>66597</v>
      </c>
      <c r="B1037" s="16" t="s">
        <v>118</v>
      </c>
      <c r="C1037" s="16" t="s">
        <v>122</v>
      </c>
    </row>
    <row r="1038" spans="1:7" ht="15" customHeight="1" x14ac:dyDescent="0.35">
      <c r="A1038" s="15">
        <v>66645</v>
      </c>
      <c r="B1038" s="16" t="s">
        <v>123</v>
      </c>
      <c r="C1038" s="16" t="s">
        <v>124</v>
      </c>
    </row>
    <row r="1039" spans="1:7" ht="15" customHeight="1" x14ac:dyDescent="0.35">
      <c r="A1039" s="15">
        <v>66726</v>
      </c>
      <c r="B1039" s="16" t="s">
        <v>114</v>
      </c>
      <c r="C1039" s="16" t="s">
        <v>125</v>
      </c>
    </row>
    <row r="1040" spans="1:7" ht="15" customHeight="1" x14ac:dyDescent="0.35">
      <c r="A1040" s="15">
        <v>66761</v>
      </c>
      <c r="B1040" s="16" t="s">
        <v>114</v>
      </c>
      <c r="C1040" s="16" t="s">
        <v>126</v>
      </c>
    </row>
    <row r="1041" spans="1:7" ht="15" customHeight="1" x14ac:dyDescent="0.35">
      <c r="A1041" s="15">
        <v>66782</v>
      </c>
      <c r="B1041" s="16" t="s">
        <v>114</v>
      </c>
      <c r="C1041" s="16" t="s">
        <v>127</v>
      </c>
    </row>
    <row r="1042" spans="1:7" ht="15" customHeight="1" x14ac:dyDescent="0.35">
      <c r="A1042" s="15">
        <v>66795</v>
      </c>
      <c r="B1042" s="16" t="s">
        <v>130</v>
      </c>
      <c r="C1042" s="16" t="s">
        <v>128</v>
      </c>
    </row>
    <row r="1043" spans="1:7" ht="15" customHeight="1" x14ac:dyDescent="0.35">
      <c r="A1043" s="15">
        <v>66800</v>
      </c>
      <c r="B1043" s="16" t="s">
        <v>118</v>
      </c>
      <c r="C1043" s="16" t="s">
        <v>132</v>
      </c>
      <c r="G1043" s="17"/>
    </row>
    <row r="1044" spans="1:7" ht="15" customHeight="1" x14ac:dyDescent="0.35">
      <c r="A1044" s="15">
        <v>66835</v>
      </c>
      <c r="B1044" s="16" t="s">
        <v>118</v>
      </c>
      <c r="C1044" s="16" t="s">
        <v>129</v>
      </c>
    </row>
    <row r="1045" spans="1:7" ht="15" customHeight="1" x14ac:dyDescent="0.35">
      <c r="A1045" s="13">
        <v>66842</v>
      </c>
      <c r="B1045" s="14" t="s">
        <v>118</v>
      </c>
      <c r="C1045" s="14" t="s">
        <v>115</v>
      </c>
    </row>
    <row r="1046" spans="1:7" ht="15" customHeight="1" x14ac:dyDescent="0.35">
      <c r="A1046" s="13">
        <v>66887</v>
      </c>
      <c r="B1046" s="14" t="s">
        <v>114</v>
      </c>
      <c r="C1046" s="14" t="s">
        <v>116</v>
      </c>
    </row>
    <row r="1047" spans="1:7" ht="15" customHeight="1" x14ac:dyDescent="0.35">
      <c r="A1047" s="13">
        <v>66888</v>
      </c>
      <c r="B1047" s="14" t="s">
        <v>117</v>
      </c>
      <c r="C1047" s="14" t="s">
        <v>116</v>
      </c>
    </row>
    <row r="1048" spans="1:7" ht="15" customHeight="1" x14ac:dyDescent="0.35">
      <c r="A1048" s="13">
        <v>66933</v>
      </c>
      <c r="B1048" s="14" t="s">
        <v>118</v>
      </c>
      <c r="C1048" s="14" t="s">
        <v>119</v>
      </c>
    </row>
    <row r="1049" spans="1:7" ht="15" customHeight="1" x14ac:dyDescent="0.35">
      <c r="A1049" s="13">
        <v>66952</v>
      </c>
      <c r="B1049" s="14" t="s">
        <v>131</v>
      </c>
      <c r="C1049" s="14" t="s">
        <v>121</v>
      </c>
    </row>
    <row r="1050" spans="1:7" ht="15" customHeight="1" x14ac:dyDescent="0.35">
      <c r="A1050" s="13">
        <v>66962</v>
      </c>
      <c r="B1050" s="14" t="s">
        <v>120</v>
      </c>
      <c r="C1050" s="14" t="s">
        <v>122</v>
      </c>
    </row>
    <row r="1051" spans="1:7" ht="15" customHeight="1" x14ac:dyDescent="0.35">
      <c r="A1051" s="13">
        <v>66995</v>
      </c>
      <c r="B1051" s="14" t="s">
        <v>123</v>
      </c>
      <c r="C1051" s="14" t="s">
        <v>124</v>
      </c>
    </row>
    <row r="1052" spans="1:7" ht="15" customHeight="1" x14ac:dyDescent="0.35">
      <c r="A1052" s="13">
        <v>67091</v>
      </c>
      <c r="B1052" s="14" t="s">
        <v>117</v>
      </c>
      <c r="C1052" s="14" t="s">
        <v>125</v>
      </c>
    </row>
    <row r="1053" spans="1:7" ht="15" customHeight="1" x14ac:dyDescent="0.35">
      <c r="A1053" s="13">
        <v>67126</v>
      </c>
      <c r="B1053" s="14" t="s">
        <v>117</v>
      </c>
      <c r="C1053" s="14" t="s">
        <v>126</v>
      </c>
    </row>
    <row r="1054" spans="1:7" ht="15" customHeight="1" x14ac:dyDescent="0.35">
      <c r="A1054" s="13">
        <v>67147</v>
      </c>
      <c r="B1054" s="14" t="s">
        <v>117</v>
      </c>
      <c r="C1054" s="14" t="s">
        <v>127</v>
      </c>
    </row>
    <row r="1055" spans="1:7" ht="15" customHeight="1" x14ac:dyDescent="0.35">
      <c r="A1055" s="13">
        <v>67160</v>
      </c>
      <c r="B1055" s="14" t="s">
        <v>114</v>
      </c>
      <c r="C1055" s="14" t="s">
        <v>128</v>
      </c>
    </row>
    <row r="1056" spans="1:7" ht="15" customHeight="1" x14ac:dyDescent="0.35">
      <c r="A1056" s="13">
        <v>67165</v>
      </c>
      <c r="B1056" s="14" t="s">
        <v>120</v>
      </c>
      <c r="C1056" s="14" t="s">
        <v>132</v>
      </c>
      <c r="G1056" s="17"/>
    </row>
    <row r="1057" spans="1:7" ht="15" customHeight="1" x14ac:dyDescent="0.35">
      <c r="A1057" s="13">
        <v>67200</v>
      </c>
      <c r="B1057" s="14" t="s">
        <v>120</v>
      </c>
      <c r="C1057" s="14" t="s">
        <v>129</v>
      </c>
    </row>
    <row r="1058" spans="1:7" ht="15" customHeight="1" x14ac:dyDescent="0.35">
      <c r="A1058" s="15">
        <v>67207</v>
      </c>
      <c r="B1058" s="16" t="s">
        <v>120</v>
      </c>
      <c r="C1058" s="16" t="s">
        <v>115</v>
      </c>
    </row>
    <row r="1059" spans="1:7" ht="15" customHeight="1" x14ac:dyDescent="0.35">
      <c r="A1059" s="15">
        <v>67244</v>
      </c>
      <c r="B1059" s="16" t="s">
        <v>114</v>
      </c>
      <c r="C1059" s="16" t="s">
        <v>116</v>
      </c>
    </row>
    <row r="1060" spans="1:7" ht="15" customHeight="1" x14ac:dyDescent="0.35">
      <c r="A1060" s="15">
        <v>67245</v>
      </c>
      <c r="B1060" s="16" t="s">
        <v>117</v>
      </c>
      <c r="C1060" s="16" t="s">
        <v>116</v>
      </c>
    </row>
    <row r="1061" spans="1:7" ht="15" customHeight="1" x14ac:dyDescent="0.35">
      <c r="A1061" s="15">
        <v>67290</v>
      </c>
      <c r="B1061" s="16" t="s">
        <v>118</v>
      </c>
      <c r="C1061" s="16" t="s">
        <v>119</v>
      </c>
    </row>
    <row r="1062" spans="1:7" ht="15" customHeight="1" x14ac:dyDescent="0.35">
      <c r="A1062" s="15">
        <v>67318</v>
      </c>
      <c r="B1062" s="16" t="s">
        <v>118</v>
      </c>
      <c r="C1062" s="16" t="s">
        <v>121</v>
      </c>
    </row>
    <row r="1063" spans="1:7" ht="15" customHeight="1" x14ac:dyDescent="0.35">
      <c r="A1063" s="15">
        <v>67328</v>
      </c>
      <c r="B1063" s="16" t="s">
        <v>114</v>
      </c>
      <c r="C1063" s="16" t="s">
        <v>122</v>
      </c>
    </row>
    <row r="1064" spans="1:7" ht="15" customHeight="1" x14ac:dyDescent="0.35">
      <c r="A1064" s="15">
        <v>67352</v>
      </c>
      <c r="B1064" s="16" t="s">
        <v>123</v>
      </c>
      <c r="C1064" s="16" t="s">
        <v>124</v>
      </c>
    </row>
    <row r="1065" spans="1:7" ht="15" customHeight="1" x14ac:dyDescent="0.35">
      <c r="A1065" s="15">
        <v>67457</v>
      </c>
      <c r="B1065" s="16" t="s">
        <v>123</v>
      </c>
      <c r="C1065" s="16" t="s">
        <v>125</v>
      </c>
    </row>
    <row r="1066" spans="1:7" ht="15" customHeight="1" x14ac:dyDescent="0.35">
      <c r="A1066" s="15">
        <v>67492</v>
      </c>
      <c r="B1066" s="16" t="s">
        <v>123</v>
      </c>
      <c r="C1066" s="16" t="s">
        <v>126</v>
      </c>
    </row>
    <row r="1067" spans="1:7" ht="15" customHeight="1" x14ac:dyDescent="0.35">
      <c r="A1067" s="15">
        <v>67513</v>
      </c>
      <c r="B1067" s="16" t="s">
        <v>123</v>
      </c>
      <c r="C1067" s="16" t="s">
        <v>127</v>
      </c>
    </row>
    <row r="1068" spans="1:7" ht="15" customHeight="1" x14ac:dyDescent="0.35">
      <c r="A1068" s="15">
        <v>67526</v>
      </c>
      <c r="B1068" s="16" t="s">
        <v>131</v>
      </c>
      <c r="C1068" s="16" t="s">
        <v>128</v>
      </c>
    </row>
    <row r="1069" spans="1:7" ht="15" customHeight="1" x14ac:dyDescent="0.35">
      <c r="A1069" s="15">
        <v>67531</v>
      </c>
      <c r="B1069" s="16" t="s">
        <v>114</v>
      </c>
      <c r="C1069" s="16" t="s">
        <v>132</v>
      </c>
      <c r="G1069" s="17"/>
    </row>
    <row r="1070" spans="1:7" ht="15" customHeight="1" x14ac:dyDescent="0.35">
      <c r="A1070" s="15">
        <v>67566</v>
      </c>
      <c r="B1070" s="16" t="s">
        <v>114</v>
      </c>
      <c r="C1070" s="16" t="s">
        <v>129</v>
      </c>
    </row>
    <row r="1071" spans="1:7" ht="15" customHeight="1" x14ac:dyDescent="0.35">
      <c r="A1071" s="13">
        <v>67573</v>
      </c>
      <c r="B1071" s="14" t="s">
        <v>114</v>
      </c>
      <c r="C1071" s="14" t="s">
        <v>115</v>
      </c>
    </row>
    <row r="1072" spans="1:7" ht="15" customHeight="1" x14ac:dyDescent="0.35">
      <c r="A1072" s="13">
        <v>67629</v>
      </c>
      <c r="B1072" s="14" t="s">
        <v>114</v>
      </c>
      <c r="C1072" s="14" t="s">
        <v>116</v>
      </c>
    </row>
    <row r="1073" spans="1:7" ht="15" customHeight="1" x14ac:dyDescent="0.35">
      <c r="A1073" s="13">
        <v>67630</v>
      </c>
      <c r="B1073" s="14" t="s">
        <v>117</v>
      </c>
      <c r="C1073" s="14" t="s">
        <v>116</v>
      </c>
    </row>
    <row r="1074" spans="1:7" ht="15" customHeight="1" x14ac:dyDescent="0.35">
      <c r="A1074" s="13">
        <v>67675</v>
      </c>
      <c r="B1074" s="14" t="s">
        <v>118</v>
      </c>
      <c r="C1074" s="14" t="s">
        <v>119</v>
      </c>
    </row>
    <row r="1075" spans="1:7" ht="15" customHeight="1" x14ac:dyDescent="0.35">
      <c r="A1075" s="13">
        <v>67683</v>
      </c>
      <c r="B1075" s="14" t="s">
        <v>120</v>
      </c>
      <c r="C1075" s="14" t="s">
        <v>121</v>
      </c>
    </row>
    <row r="1076" spans="1:7" ht="15" customHeight="1" x14ac:dyDescent="0.35">
      <c r="A1076" s="13">
        <v>67693</v>
      </c>
      <c r="B1076" s="14" t="s">
        <v>117</v>
      </c>
      <c r="C1076" s="14" t="s">
        <v>122</v>
      </c>
    </row>
    <row r="1077" spans="1:7" ht="15" customHeight="1" x14ac:dyDescent="0.35">
      <c r="A1077" s="13">
        <v>67737</v>
      </c>
      <c r="B1077" s="14" t="s">
        <v>123</v>
      </c>
      <c r="C1077" s="14" t="s">
        <v>124</v>
      </c>
    </row>
    <row r="1078" spans="1:7" ht="15" customHeight="1" x14ac:dyDescent="0.35">
      <c r="A1078" s="13">
        <v>67822</v>
      </c>
      <c r="B1078" s="14" t="s">
        <v>118</v>
      </c>
      <c r="C1078" s="14" t="s">
        <v>125</v>
      </c>
    </row>
    <row r="1079" spans="1:7" ht="15" customHeight="1" x14ac:dyDescent="0.35">
      <c r="A1079" s="13">
        <v>67857</v>
      </c>
      <c r="B1079" s="14" t="s">
        <v>118</v>
      </c>
      <c r="C1079" s="14" t="s">
        <v>126</v>
      </c>
    </row>
    <row r="1080" spans="1:7" ht="15" customHeight="1" x14ac:dyDescent="0.35">
      <c r="A1080" s="13">
        <v>67878</v>
      </c>
      <c r="B1080" s="14" t="s">
        <v>118</v>
      </c>
      <c r="C1080" s="14" t="s">
        <v>127</v>
      </c>
    </row>
    <row r="1081" spans="1:7" ht="15" customHeight="1" x14ac:dyDescent="0.35">
      <c r="A1081" s="13">
        <v>67891</v>
      </c>
      <c r="B1081" s="14" t="s">
        <v>123</v>
      </c>
      <c r="C1081" s="14" t="s">
        <v>128</v>
      </c>
    </row>
    <row r="1082" spans="1:7" ht="15" customHeight="1" x14ac:dyDescent="0.35">
      <c r="A1082" s="13">
        <v>67896</v>
      </c>
      <c r="B1082" s="14" t="s">
        <v>117</v>
      </c>
      <c r="C1082" s="14" t="s">
        <v>132</v>
      </c>
      <c r="G1082" s="17"/>
    </row>
    <row r="1083" spans="1:7" ht="15" customHeight="1" x14ac:dyDescent="0.35">
      <c r="A1083" s="13">
        <v>67931</v>
      </c>
      <c r="B1083" s="14" t="s">
        <v>117</v>
      </c>
      <c r="C1083" s="14" t="s">
        <v>129</v>
      </c>
    </row>
    <row r="1084" spans="1:7" ht="15" customHeight="1" x14ac:dyDescent="0.35">
      <c r="A1084" s="15">
        <v>67938</v>
      </c>
      <c r="B1084" s="16" t="s">
        <v>117</v>
      </c>
      <c r="C1084" s="16" t="s">
        <v>115</v>
      </c>
    </row>
    <row r="1085" spans="1:7" ht="15" customHeight="1" x14ac:dyDescent="0.35">
      <c r="A1085" s="15">
        <v>67979</v>
      </c>
      <c r="B1085" s="16" t="s">
        <v>114</v>
      </c>
      <c r="C1085" s="16" t="s">
        <v>116</v>
      </c>
    </row>
    <row r="1086" spans="1:7" ht="15" customHeight="1" x14ac:dyDescent="0.35">
      <c r="A1086" s="15">
        <v>67980</v>
      </c>
      <c r="B1086" s="16" t="s">
        <v>117</v>
      </c>
      <c r="C1086" s="16" t="s">
        <v>116</v>
      </c>
    </row>
    <row r="1087" spans="1:7" ht="15" customHeight="1" x14ac:dyDescent="0.35">
      <c r="A1087" s="15">
        <v>68025</v>
      </c>
      <c r="B1087" s="16" t="s">
        <v>118</v>
      </c>
      <c r="C1087" s="16" t="s">
        <v>119</v>
      </c>
    </row>
    <row r="1088" spans="1:7" ht="15" customHeight="1" x14ac:dyDescent="0.35">
      <c r="A1088" s="15">
        <v>68048</v>
      </c>
      <c r="B1088" s="16" t="s">
        <v>130</v>
      </c>
      <c r="C1088" s="16" t="s">
        <v>121</v>
      </c>
    </row>
    <row r="1089" spans="1:7" ht="15" customHeight="1" x14ac:dyDescent="0.35">
      <c r="A1089" s="15">
        <v>68058</v>
      </c>
      <c r="B1089" s="16" t="s">
        <v>131</v>
      </c>
      <c r="C1089" s="16" t="s">
        <v>122</v>
      </c>
    </row>
    <row r="1090" spans="1:7" ht="15" customHeight="1" x14ac:dyDescent="0.35">
      <c r="A1090" s="15">
        <v>68087</v>
      </c>
      <c r="B1090" s="16" t="s">
        <v>123</v>
      </c>
      <c r="C1090" s="16" t="s">
        <v>124</v>
      </c>
    </row>
    <row r="1091" spans="1:7" ht="15" customHeight="1" x14ac:dyDescent="0.35">
      <c r="A1091" s="15">
        <v>68187</v>
      </c>
      <c r="B1091" s="16" t="s">
        <v>120</v>
      </c>
      <c r="C1091" s="16" t="s">
        <v>125</v>
      </c>
    </row>
    <row r="1092" spans="1:7" ht="15" customHeight="1" x14ac:dyDescent="0.35">
      <c r="A1092" s="15">
        <v>68222</v>
      </c>
      <c r="B1092" s="16" t="s">
        <v>120</v>
      </c>
      <c r="C1092" s="16" t="s">
        <v>126</v>
      </c>
    </row>
    <row r="1093" spans="1:7" ht="15" customHeight="1" x14ac:dyDescent="0.35">
      <c r="A1093" s="15">
        <v>68243</v>
      </c>
      <c r="B1093" s="16" t="s">
        <v>120</v>
      </c>
      <c r="C1093" s="16" t="s">
        <v>127</v>
      </c>
    </row>
    <row r="1094" spans="1:7" ht="15" customHeight="1" x14ac:dyDescent="0.35">
      <c r="A1094" s="15">
        <v>68256</v>
      </c>
      <c r="B1094" s="16" t="s">
        <v>118</v>
      </c>
      <c r="C1094" s="16" t="s">
        <v>128</v>
      </c>
    </row>
    <row r="1095" spans="1:7" ht="15" customHeight="1" x14ac:dyDescent="0.35">
      <c r="A1095" s="15">
        <v>68261</v>
      </c>
      <c r="B1095" s="16" t="s">
        <v>131</v>
      </c>
      <c r="C1095" s="16" t="s">
        <v>132</v>
      </c>
      <c r="G1095" s="17"/>
    </row>
    <row r="1096" spans="1:7" ht="15" customHeight="1" x14ac:dyDescent="0.35">
      <c r="A1096" s="15">
        <v>68296</v>
      </c>
      <c r="B1096" s="16" t="s">
        <v>131</v>
      </c>
      <c r="C1096" s="16" t="s">
        <v>129</v>
      </c>
    </row>
    <row r="1097" spans="1:7" ht="15" customHeight="1" x14ac:dyDescent="0.35">
      <c r="A1097" s="13">
        <v>68303</v>
      </c>
      <c r="B1097" s="14" t="s">
        <v>131</v>
      </c>
      <c r="C1097" s="14" t="s">
        <v>115</v>
      </c>
    </row>
    <row r="1098" spans="1:7" ht="15" customHeight="1" x14ac:dyDescent="0.35">
      <c r="A1098" s="13">
        <v>68364</v>
      </c>
      <c r="B1098" s="14" t="s">
        <v>114</v>
      </c>
      <c r="C1098" s="14" t="s">
        <v>116</v>
      </c>
    </row>
    <row r="1099" spans="1:7" ht="15" customHeight="1" x14ac:dyDescent="0.35">
      <c r="A1099" s="13">
        <v>68365</v>
      </c>
      <c r="B1099" s="14" t="s">
        <v>117</v>
      </c>
      <c r="C1099" s="14" t="s">
        <v>116</v>
      </c>
    </row>
    <row r="1100" spans="1:7" ht="15" customHeight="1" x14ac:dyDescent="0.35">
      <c r="A1100" s="13">
        <v>68410</v>
      </c>
      <c r="B1100" s="14" t="s">
        <v>118</v>
      </c>
      <c r="C1100" s="14" t="s">
        <v>119</v>
      </c>
    </row>
    <row r="1101" spans="1:7" ht="15" customHeight="1" x14ac:dyDescent="0.35">
      <c r="A1101" s="13">
        <v>68413</v>
      </c>
      <c r="B1101" s="14" t="s">
        <v>114</v>
      </c>
      <c r="C1101" s="14" t="s">
        <v>121</v>
      </c>
    </row>
    <row r="1102" spans="1:7" ht="15" customHeight="1" x14ac:dyDescent="0.35">
      <c r="A1102" s="13">
        <v>68423</v>
      </c>
      <c r="B1102" s="14" t="s">
        <v>123</v>
      </c>
      <c r="C1102" s="14" t="s">
        <v>122</v>
      </c>
    </row>
    <row r="1103" spans="1:7" ht="15" customHeight="1" x14ac:dyDescent="0.35">
      <c r="A1103" s="13">
        <v>68472</v>
      </c>
      <c r="B1103" s="14" t="s">
        <v>123</v>
      </c>
      <c r="C1103" s="14" t="s">
        <v>124</v>
      </c>
    </row>
    <row r="1104" spans="1:7" ht="15" customHeight="1" x14ac:dyDescent="0.35">
      <c r="A1104" s="13">
        <v>68552</v>
      </c>
      <c r="B1104" s="14" t="s">
        <v>130</v>
      </c>
      <c r="C1104" s="14" t="s">
        <v>125</v>
      </c>
    </row>
    <row r="1105" spans="1:7" ht="15" customHeight="1" x14ac:dyDescent="0.35">
      <c r="A1105" s="13">
        <v>68587</v>
      </c>
      <c r="B1105" s="14" t="s">
        <v>130</v>
      </c>
      <c r="C1105" s="14" t="s">
        <v>126</v>
      </c>
    </row>
    <row r="1106" spans="1:7" ht="15" customHeight="1" x14ac:dyDescent="0.35">
      <c r="A1106" s="13">
        <v>68608</v>
      </c>
      <c r="B1106" s="14" t="s">
        <v>130</v>
      </c>
      <c r="C1106" s="14" t="s">
        <v>127</v>
      </c>
    </row>
    <row r="1107" spans="1:7" ht="15" customHeight="1" x14ac:dyDescent="0.35">
      <c r="A1107" s="13">
        <v>68621</v>
      </c>
      <c r="B1107" s="14" t="s">
        <v>120</v>
      </c>
      <c r="C1107" s="14" t="s">
        <v>128</v>
      </c>
    </row>
    <row r="1108" spans="1:7" ht="15" customHeight="1" x14ac:dyDescent="0.35">
      <c r="A1108" s="13">
        <v>68626</v>
      </c>
      <c r="B1108" s="14" t="s">
        <v>123</v>
      </c>
      <c r="C1108" s="14" t="s">
        <v>132</v>
      </c>
      <c r="G1108" s="17"/>
    </row>
    <row r="1109" spans="1:7" ht="15" customHeight="1" x14ac:dyDescent="0.35">
      <c r="A1109" s="13">
        <v>68661</v>
      </c>
      <c r="B1109" s="14" t="s">
        <v>123</v>
      </c>
      <c r="C1109" s="14" t="s">
        <v>129</v>
      </c>
    </row>
    <row r="1110" spans="1:7" ht="15" customHeight="1" x14ac:dyDescent="0.35">
      <c r="A1110" s="15">
        <v>68668</v>
      </c>
      <c r="B1110" s="16" t="s">
        <v>123</v>
      </c>
      <c r="C1110" s="16" t="s">
        <v>115</v>
      </c>
    </row>
    <row r="1111" spans="1:7" ht="15" customHeight="1" x14ac:dyDescent="0.35">
      <c r="A1111" s="15">
        <v>68721</v>
      </c>
      <c r="B1111" s="16" t="s">
        <v>114</v>
      </c>
      <c r="C1111" s="16" t="s">
        <v>116</v>
      </c>
    </row>
    <row r="1112" spans="1:7" ht="15" customHeight="1" x14ac:dyDescent="0.35">
      <c r="A1112" s="15">
        <v>68722</v>
      </c>
      <c r="B1112" s="16" t="s">
        <v>117</v>
      </c>
      <c r="C1112" s="16" t="s">
        <v>116</v>
      </c>
    </row>
    <row r="1113" spans="1:7" ht="15" customHeight="1" x14ac:dyDescent="0.35">
      <c r="A1113" s="15">
        <v>68767</v>
      </c>
      <c r="B1113" s="16" t="s">
        <v>118</v>
      </c>
      <c r="C1113" s="16" t="s">
        <v>119</v>
      </c>
    </row>
    <row r="1114" spans="1:7" ht="15" customHeight="1" x14ac:dyDescent="0.35">
      <c r="A1114" s="15">
        <v>68779</v>
      </c>
      <c r="B1114" s="16" t="s">
        <v>131</v>
      </c>
      <c r="C1114" s="16" t="s">
        <v>121</v>
      </c>
    </row>
    <row r="1115" spans="1:7" ht="15" customHeight="1" x14ac:dyDescent="0.35">
      <c r="A1115" s="15">
        <v>68789</v>
      </c>
      <c r="B1115" s="16" t="s">
        <v>120</v>
      </c>
      <c r="C1115" s="16" t="s">
        <v>122</v>
      </c>
    </row>
    <row r="1116" spans="1:7" ht="15" customHeight="1" x14ac:dyDescent="0.35">
      <c r="A1116" s="15">
        <v>68829</v>
      </c>
      <c r="B1116" s="16" t="s">
        <v>123</v>
      </c>
      <c r="C1116" s="16" t="s">
        <v>124</v>
      </c>
    </row>
    <row r="1117" spans="1:7" ht="15" customHeight="1" x14ac:dyDescent="0.35">
      <c r="A1117" s="15">
        <v>68918</v>
      </c>
      <c r="B1117" s="16" t="s">
        <v>117</v>
      </c>
      <c r="C1117" s="16" t="s">
        <v>125</v>
      </c>
    </row>
    <row r="1118" spans="1:7" ht="15" customHeight="1" x14ac:dyDescent="0.35">
      <c r="A1118" s="15">
        <v>68953</v>
      </c>
      <c r="B1118" s="16" t="s">
        <v>117</v>
      </c>
      <c r="C1118" s="16" t="s">
        <v>126</v>
      </c>
    </row>
    <row r="1119" spans="1:7" ht="15" customHeight="1" x14ac:dyDescent="0.35">
      <c r="A1119" s="15">
        <v>68974</v>
      </c>
      <c r="B1119" s="16" t="s">
        <v>117</v>
      </c>
      <c r="C1119" s="16" t="s">
        <v>127</v>
      </c>
    </row>
    <row r="1120" spans="1:7" ht="15" customHeight="1" x14ac:dyDescent="0.35">
      <c r="A1120" s="15">
        <v>68987</v>
      </c>
      <c r="B1120" s="16" t="s">
        <v>114</v>
      </c>
      <c r="C1120" s="16" t="s">
        <v>128</v>
      </c>
    </row>
    <row r="1121" spans="1:7" ht="15" customHeight="1" x14ac:dyDescent="0.35">
      <c r="A1121" s="15">
        <v>68992</v>
      </c>
      <c r="B1121" s="16" t="s">
        <v>120</v>
      </c>
      <c r="C1121" s="16" t="s">
        <v>132</v>
      </c>
      <c r="G1121" s="17"/>
    </row>
    <row r="1122" spans="1:7" ht="15" customHeight="1" x14ac:dyDescent="0.35">
      <c r="A1122" s="15">
        <v>69027</v>
      </c>
      <c r="B1122" s="16" t="s">
        <v>120</v>
      </c>
      <c r="C1122" s="16" t="s">
        <v>129</v>
      </c>
    </row>
    <row r="1123" spans="1:7" ht="15" customHeight="1" x14ac:dyDescent="0.35">
      <c r="A1123" s="13">
        <v>69034</v>
      </c>
      <c r="B1123" s="14" t="s">
        <v>120</v>
      </c>
      <c r="C1123" s="14" t="s">
        <v>115</v>
      </c>
    </row>
    <row r="1124" spans="1:7" ht="15" customHeight="1" x14ac:dyDescent="0.35">
      <c r="A1124" s="13">
        <v>69078</v>
      </c>
      <c r="B1124" s="14" t="s">
        <v>114</v>
      </c>
      <c r="C1124" s="14" t="s">
        <v>116</v>
      </c>
    </row>
    <row r="1125" spans="1:7" ht="15" customHeight="1" x14ac:dyDescent="0.35">
      <c r="A1125" s="13">
        <v>69079</v>
      </c>
      <c r="B1125" s="14" t="s">
        <v>117</v>
      </c>
      <c r="C1125" s="14" t="s">
        <v>116</v>
      </c>
    </row>
    <row r="1126" spans="1:7" ht="15" customHeight="1" x14ac:dyDescent="0.35">
      <c r="A1126" s="13">
        <v>69124</v>
      </c>
      <c r="B1126" s="14" t="s">
        <v>118</v>
      </c>
      <c r="C1126" s="14" t="s">
        <v>119</v>
      </c>
    </row>
    <row r="1127" spans="1:7" ht="15" customHeight="1" x14ac:dyDescent="0.35">
      <c r="A1127" s="13">
        <v>69144</v>
      </c>
      <c r="B1127" s="14" t="s">
        <v>123</v>
      </c>
      <c r="C1127" s="14" t="s">
        <v>121</v>
      </c>
    </row>
    <row r="1128" spans="1:7" ht="15" customHeight="1" x14ac:dyDescent="0.35">
      <c r="A1128" s="13">
        <v>69154</v>
      </c>
      <c r="B1128" s="14" t="s">
        <v>130</v>
      </c>
      <c r="C1128" s="14" t="s">
        <v>122</v>
      </c>
    </row>
    <row r="1129" spans="1:7" ht="15" customHeight="1" x14ac:dyDescent="0.35">
      <c r="A1129" s="13">
        <v>69186</v>
      </c>
      <c r="B1129" s="14" t="s">
        <v>123</v>
      </c>
      <c r="C1129" s="14" t="s">
        <v>124</v>
      </c>
    </row>
    <row r="1130" spans="1:7" ht="15" customHeight="1" x14ac:dyDescent="0.35">
      <c r="A1130" s="13">
        <v>69283</v>
      </c>
      <c r="B1130" s="14" t="s">
        <v>131</v>
      </c>
      <c r="C1130" s="14" t="s">
        <v>125</v>
      </c>
    </row>
    <row r="1131" spans="1:7" ht="15" customHeight="1" x14ac:dyDescent="0.35">
      <c r="A1131" s="13">
        <v>69318</v>
      </c>
      <c r="B1131" s="14" t="s">
        <v>131</v>
      </c>
      <c r="C1131" s="14" t="s">
        <v>126</v>
      </c>
    </row>
    <row r="1132" spans="1:7" ht="15" customHeight="1" x14ac:dyDescent="0.35">
      <c r="A1132" s="13">
        <v>69339</v>
      </c>
      <c r="B1132" s="14" t="s">
        <v>131</v>
      </c>
      <c r="C1132" s="14" t="s">
        <v>127</v>
      </c>
    </row>
    <row r="1133" spans="1:7" ht="15" customHeight="1" x14ac:dyDescent="0.35">
      <c r="A1133" s="13">
        <v>69352</v>
      </c>
      <c r="B1133" s="14" t="s">
        <v>117</v>
      </c>
      <c r="C1133" s="14" t="s">
        <v>128</v>
      </c>
    </row>
    <row r="1134" spans="1:7" ht="15" customHeight="1" x14ac:dyDescent="0.35">
      <c r="A1134" s="13">
        <v>69357</v>
      </c>
      <c r="B1134" s="14" t="s">
        <v>130</v>
      </c>
      <c r="C1134" s="14" t="s">
        <v>132</v>
      </c>
      <c r="G1134" s="17"/>
    </row>
    <row r="1135" spans="1:7" ht="15" customHeight="1" x14ac:dyDescent="0.35">
      <c r="A1135" s="13">
        <v>69392</v>
      </c>
      <c r="B1135" s="14" t="s">
        <v>130</v>
      </c>
      <c r="C1135" s="14" t="s">
        <v>129</v>
      </c>
    </row>
    <row r="1136" spans="1:7" ht="15" customHeight="1" x14ac:dyDescent="0.35">
      <c r="A1136" s="15">
        <v>69399</v>
      </c>
      <c r="B1136" s="16" t="s">
        <v>130</v>
      </c>
      <c r="C1136" s="16" t="s">
        <v>115</v>
      </c>
    </row>
    <row r="1137" spans="1:7" ht="15" customHeight="1" x14ac:dyDescent="0.35">
      <c r="A1137" s="15">
        <v>69456</v>
      </c>
      <c r="B1137" s="16" t="s">
        <v>114</v>
      </c>
      <c r="C1137" s="16" t="s">
        <v>116</v>
      </c>
    </row>
    <row r="1138" spans="1:7" ht="15" customHeight="1" x14ac:dyDescent="0.35">
      <c r="A1138" s="15">
        <v>69457</v>
      </c>
      <c r="B1138" s="16" t="s">
        <v>117</v>
      </c>
      <c r="C1138" s="16" t="s">
        <v>116</v>
      </c>
    </row>
    <row r="1139" spans="1:7" ht="15" customHeight="1" x14ac:dyDescent="0.35">
      <c r="A1139" s="15">
        <v>69502</v>
      </c>
      <c r="B1139" s="16" t="s">
        <v>118</v>
      </c>
      <c r="C1139" s="16" t="s">
        <v>119</v>
      </c>
    </row>
    <row r="1140" spans="1:7" ht="15" customHeight="1" x14ac:dyDescent="0.35">
      <c r="A1140" s="15">
        <v>69509</v>
      </c>
      <c r="B1140" s="16" t="s">
        <v>118</v>
      </c>
      <c r="C1140" s="16" t="s">
        <v>121</v>
      </c>
    </row>
    <row r="1141" spans="1:7" ht="15" customHeight="1" x14ac:dyDescent="0.35">
      <c r="A1141" s="15">
        <v>69519</v>
      </c>
      <c r="B1141" s="16" t="s">
        <v>114</v>
      </c>
      <c r="C1141" s="16" t="s">
        <v>122</v>
      </c>
    </row>
    <row r="1142" spans="1:7" ht="15" customHeight="1" x14ac:dyDescent="0.35">
      <c r="A1142" s="15">
        <v>69564</v>
      </c>
      <c r="B1142" s="16" t="s">
        <v>123</v>
      </c>
      <c r="C1142" s="16" t="s">
        <v>124</v>
      </c>
    </row>
    <row r="1143" spans="1:7" ht="15" customHeight="1" x14ac:dyDescent="0.35">
      <c r="A1143" s="15">
        <v>69648</v>
      </c>
      <c r="B1143" s="16" t="s">
        <v>123</v>
      </c>
      <c r="C1143" s="16" t="s">
        <v>125</v>
      </c>
    </row>
    <row r="1144" spans="1:7" ht="15" customHeight="1" x14ac:dyDescent="0.35">
      <c r="A1144" s="15">
        <v>69683</v>
      </c>
      <c r="B1144" s="16" t="s">
        <v>123</v>
      </c>
      <c r="C1144" s="16" t="s">
        <v>126</v>
      </c>
    </row>
    <row r="1145" spans="1:7" ht="15" customHeight="1" x14ac:dyDescent="0.35">
      <c r="A1145" s="15">
        <v>69704</v>
      </c>
      <c r="B1145" s="16" t="s">
        <v>123</v>
      </c>
      <c r="C1145" s="16" t="s">
        <v>127</v>
      </c>
    </row>
    <row r="1146" spans="1:7" ht="15" customHeight="1" x14ac:dyDescent="0.35">
      <c r="A1146" s="15">
        <v>69717</v>
      </c>
      <c r="B1146" s="16" t="s">
        <v>131</v>
      </c>
      <c r="C1146" s="16" t="s">
        <v>128</v>
      </c>
    </row>
    <row r="1147" spans="1:7" ht="15" customHeight="1" x14ac:dyDescent="0.35">
      <c r="A1147" s="15">
        <v>69722</v>
      </c>
      <c r="B1147" s="16" t="s">
        <v>114</v>
      </c>
      <c r="C1147" s="16" t="s">
        <v>132</v>
      </c>
      <c r="G1147" s="17"/>
    </row>
    <row r="1148" spans="1:7" ht="15" customHeight="1" x14ac:dyDescent="0.35">
      <c r="A1148" s="15">
        <v>69757</v>
      </c>
      <c r="B1148" s="16" t="s">
        <v>114</v>
      </c>
      <c r="C1148" s="16" t="s">
        <v>129</v>
      </c>
    </row>
    <row r="1149" spans="1:7" ht="15" customHeight="1" x14ac:dyDescent="0.35">
      <c r="A1149" s="13">
        <v>69764</v>
      </c>
      <c r="B1149" s="14" t="s">
        <v>114</v>
      </c>
      <c r="C1149" s="14" t="s">
        <v>115</v>
      </c>
    </row>
    <row r="1150" spans="1:7" ht="15" customHeight="1" x14ac:dyDescent="0.35">
      <c r="A1150" s="13">
        <v>69813</v>
      </c>
      <c r="B1150" s="14" t="s">
        <v>114</v>
      </c>
      <c r="C1150" s="14" t="s">
        <v>116</v>
      </c>
    </row>
    <row r="1151" spans="1:7" ht="15" customHeight="1" x14ac:dyDescent="0.35">
      <c r="A1151" s="13">
        <v>69814</v>
      </c>
      <c r="B1151" s="14" t="s">
        <v>117</v>
      </c>
      <c r="C1151" s="14" t="s">
        <v>116</v>
      </c>
    </row>
    <row r="1152" spans="1:7" ht="15" customHeight="1" x14ac:dyDescent="0.35">
      <c r="A1152" s="13">
        <v>69859</v>
      </c>
      <c r="B1152" s="14" t="s">
        <v>118</v>
      </c>
      <c r="C1152" s="14" t="s">
        <v>119</v>
      </c>
    </row>
    <row r="1153" spans="1:7" ht="15" customHeight="1" x14ac:dyDescent="0.35">
      <c r="A1153" s="13">
        <v>69874</v>
      </c>
      <c r="B1153" s="14" t="s">
        <v>120</v>
      </c>
      <c r="C1153" s="14" t="s">
        <v>121</v>
      </c>
    </row>
    <row r="1154" spans="1:7" ht="15" customHeight="1" x14ac:dyDescent="0.35">
      <c r="A1154" s="13">
        <v>69884</v>
      </c>
      <c r="B1154" s="14" t="s">
        <v>117</v>
      </c>
      <c r="C1154" s="14" t="s">
        <v>122</v>
      </c>
    </row>
    <row r="1155" spans="1:7" ht="15" customHeight="1" x14ac:dyDescent="0.35">
      <c r="A1155" s="13">
        <v>69921</v>
      </c>
      <c r="B1155" s="14" t="s">
        <v>123</v>
      </c>
      <c r="C1155" s="14" t="s">
        <v>124</v>
      </c>
    </row>
    <row r="1156" spans="1:7" ht="15" customHeight="1" x14ac:dyDescent="0.35">
      <c r="A1156" s="13">
        <v>70013</v>
      </c>
      <c r="B1156" s="14" t="s">
        <v>118</v>
      </c>
      <c r="C1156" s="14" t="s">
        <v>125</v>
      </c>
    </row>
    <row r="1157" spans="1:7" ht="15" customHeight="1" x14ac:dyDescent="0.35">
      <c r="A1157" s="13">
        <v>70048</v>
      </c>
      <c r="B1157" s="14" t="s">
        <v>118</v>
      </c>
      <c r="C1157" s="14" t="s">
        <v>126</v>
      </c>
    </row>
    <row r="1158" spans="1:7" ht="15" customHeight="1" x14ac:dyDescent="0.35">
      <c r="A1158" s="13">
        <v>70069</v>
      </c>
      <c r="B1158" s="14" t="s">
        <v>118</v>
      </c>
      <c r="C1158" s="14" t="s">
        <v>127</v>
      </c>
    </row>
    <row r="1159" spans="1:7" ht="15" customHeight="1" x14ac:dyDescent="0.35">
      <c r="A1159" s="13">
        <v>70082</v>
      </c>
      <c r="B1159" s="14" t="s">
        <v>123</v>
      </c>
      <c r="C1159" s="14" t="s">
        <v>128</v>
      </c>
    </row>
    <row r="1160" spans="1:7" ht="15" customHeight="1" x14ac:dyDescent="0.35">
      <c r="A1160" s="13">
        <v>70087</v>
      </c>
      <c r="B1160" s="14" t="s">
        <v>117</v>
      </c>
      <c r="C1160" s="14" t="s">
        <v>132</v>
      </c>
      <c r="G1160" s="17"/>
    </row>
    <row r="1161" spans="1:7" ht="15" customHeight="1" x14ac:dyDescent="0.35">
      <c r="A1161" s="13">
        <v>70122</v>
      </c>
      <c r="B1161" s="14" t="s">
        <v>117</v>
      </c>
      <c r="C1161" s="14" t="s">
        <v>129</v>
      </c>
    </row>
    <row r="1162" spans="1:7" ht="15" customHeight="1" x14ac:dyDescent="0.35">
      <c r="A1162" s="15">
        <v>70129</v>
      </c>
      <c r="B1162" s="16" t="s">
        <v>117</v>
      </c>
      <c r="C1162" s="16" t="s">
        <v>115</v>
      </c>
    </row>
    <row r="1163" spans="1:7" ht="15" customHeight="1" x14ac:dyDescent="0.35">
      <c r="A1163" s="15">
        <v>70170</v>
      </c>
      <c r="B1163" s="16" t="s">
        <v>114</v>
      </c>
      <c r="C1163" s="16" t="s">
        <v>116</v>
      </c>
    </row>
    <row r="1164" spans="1:7" ht="15" customHeight="1" x14ac:dyDescent="0.35">
      <c r="A1164" s="15">
        <v>70171</v>
      </c>
      <c r="B1164" s="16" t="s">
        <v>117</v>
      </c>
      <c r="C1164" s="16" t="s">
        <v>116</v>
      </c>
    </row>
    <row r="1165" spans="1:7" ht="15" customHeight="1" x14ac:dyDescent="0.35">
      <c r="A1165" s="15">
        <v>70216</v>
      </c>
      <c r="B1165" s="16" t="s">
        <v>118</v>
      </c>
      <c r="C1165" s="16" t="s">
        <v>119</v>
      </c>
    </row>
    <row r="1166" spans="1:7" ht="15" customHeight="1" x14ac:dyDescent="0.35">
      <c r="A1166" s="15">
        <v>70240</v>
      </c>
      <c r="B1166" s="16" t="s">
        <v>114</v>
      </c>
      <c r="C1166" s="16" t="s">
        <v>121</v>
      </c>
    </row>
    <row r="1167" spans="1:7" ht="15" customHeight="1" x14ac:dyDescent="0.35">
      <c r="A1167" s="15">
        <v>70250</v>
      </c>
      <c r="B1167" s="16" t="s">
        <v>123</v>
      </c>
      <c r="C1167" s="16" t="s">
        <v>122</v>
      </c>
    </row>
    <row r="1168" spans="1:7" ht="15" customHeight="1" x14ac:dyDescent="0.35">
      <c r="A1168" s="15">
        <v>70278</v>
      </c>
      <c r="B1168" s="16" t="s">
        <v>123</v>
      </c>
      <c r="C1168" s="16" t="s">
        <v>124</v>
      </c>
    </row>
    <row r="1169" spans="1:7" ht="15" customHeight="1" x14ac:dyDescent="0.35">
      <c r="A1169" s="15">
        <v>70379</v>
      </c>
      <c r="B1169" s="16" t="s">
        <v>130</v>
      </c>
      <c r="C1169" s="16" t="s">
        <v>125</v>
      </c>
    </row>
    <row r="1170" spans="1:7" ht="15" customHeight="1" x14ac:dyDescent="0.35">
      <c r="A1170" s="15">
        <v>70414</v>
      </c>
      <c r="B1170" s="16" t="s">
        <v>130</v>
      </c>
      <c r="C1170" s="16" t="s">
        <v>126</v>
      </c>
    </row>
    <row r="1171" spans="1:7" ht="15" customHeight="1" x14ac:dyDescent="0.35">
      <c r="A1171" s="15">
        <v>70435</v>
      </c>
      <c r="B1171" s="16" t="s">
        <v>130</v>
      </c>
      <c r="C1171" s="16" t="s">
        <v>127</v>
      </c>
    </row>
    <row r="1172" spans="1:7" ht="15" customHeight="1" x14ac:dyDescent="0.35">
      <c r="A1172" s="15">
        <v>70448</v>
      </c>
      <c r="B1172" s="16" t="s">
        <v>120</v>
      </c>
      <c r="C1172" s="16" t="s">
        <v>128</v>
      </c>
    </row>
    <row r="1173" spans="1:7" ht="15" customHeight="1" x14ac:dyDescent="0.35">
      <c r="A1173" s="15">
        <v>70453</v>
      </c>
      <c r="B1173" s="16" t="s">
        <v>123</v>
      </c>
      <c r="C1173" s="16" t="s">
        <v>132</v>
      </c>
      <c r="G1173" s="17"/>
    </row>
    <row r="1174" spans="1:7" ht="15" customHeight="1" x14ac:dyDescent="0.35">
      <c r="A1174" s="15">
        <v>70488</v>
      </c>
      <c r="B1174" s="16" t="s">
        <v>123</v>
      </c>
      <c r="C1174" s="16" t="s">
        <v>129</v>
      </c>
    </row>
    <row r="1175" spans="1:7" ht="15" customHeight="1" x14ac:dyDescent="0.35">
      <c r="A1175" s="13">
        <v>70495</v>
      </c>
      <c r="B1175" s="14" t="s">
        <v>123</v>
      </c>
      <c r="C1175" s="14" t="s">
        <v>115</v>
      </c>
    </row>
    <row r="1176" spans="1:7" ht="15" customHeight="1" x14ac:dyDescent="0.35">
      <c r="A1176" s="13">
        <v>70548</v>
      </c>
      <c r="B1176" s="14" t="s">
        <v>114</v>
      </c>
      <c r="C1176" s="14" t="s">
        <v>116</v>
      </c>
    </row>
    <row r="1177" spans="1:7" ht="15" customHeight="1" x14ac:dyDescent="0.35">
      <c r="A1177" s="13">
        <v>70549</v>
      </c>
      <c r="B1177" s="14" t="s">
        <v>117</v>
      </c>
      <c r="C1177" s="14" t="s">
        <v>116</v>
      </c>
    </row>
    <row r="1178" spans="1:7" ht="15" customHeight="1" x14ac:dyDescent="0.35">
      <c r="A1178" s="13">
        <v>70594</v>
      </c>
      <c r="B1178" s="14" t="s">
        <v>118</v>
      </c>
      <c r="C1178" s="14" t="s">
        <v>119</v>
      </c>
    </row>
    <row r="1179" spans="1:7" ht="15" customHeight="1" x14ac:dyDescent="0.35">
      <c r="A1179" s="13">
        <v>70605</v>
      </c>
      <c r="B1179" s="14" t="s">
        <v>117</v>
      </c>
      <c r="C1179" s="14" t="s">
        <v>121</v>
      </c>
    </row>
    <row r="1180" spans="1:7" ht="15" customHeight="1" x14ac:dyDescent="0.35">
      <c r="A1180" s="13">
        <v>70615</v>
      </c>
      <c r="B1180" s="14" t="s">
        <v>118</v>
      </c>
      <c r="C1180" s="14" t="s">
        <v>122</v>
      </c>
    </row>
    <row r="1181" spans="1:7" ht="15" customHeight="1" x14ac:dyDescent="0.35">
      <c r="A1181" s="13">
        <v>70656</v>
      </c>
      <c r="B1181" s="14" t="s">
        <v>123</v>
      </c>
      <c r="C1181" s="14" t="s">
        <v>124</v>
      </c>
    </row>
    <row r="1182" spans="1:7" ht="15" customHeight="1" x14ac:dyDescent="0.35">
      <c r="A1182" s="13">
        <v>70744</v>
      </c>
      <c r="B1182" s="14" t="s">
        <v>114</v>
      </c>
      <c r="C1182" s="14" t="s">
        <v>125</v>
      </c>
    </row>
    <row r="1183" spans="1:7" ht="15" customHeight="1" x14ac:dyDescent="0.35">
      <c r="A1183" s="13">
        <v>70779</v>
      </c>
      <c r="B1183" s="14" t="s">
        <v>114</v>
      </c>
      <c r="C1183" s="14" t="s">
        <v>126</v>
      </c>
    </row>
    <row r="1184" spans="1:7" ht="15" customHeight="1" x14ac:dyDescent="0.35">
      <c r="A1184" s="13">
        <v>70800</v>
      </c>
      <c r="B1184" s="14" t="s">
        <v>114</v>
      </c>
      <c r="C1184" s="14" t="s">
        <v>127</v>
      </c>
    </row>
    <row r="1185" spans="1:7" ht="15" customHeight="1" x14ac:dyDescent="0.35">
      <c r="A1185" s="13">
        <v>70813</v>
      </c>
      <c r="B1185" s="14" t="s">
        <v>130</v>
      </c>
      <c r="C1185" s="14" t="s">
        <v>128</v>
      </c>
    </row>
    <row r="1186" spans="1:7" ht="15" customHeight="1" x14ac:dyDescent="0.35">
      <c r="A1186" s="13">
        <v>70818</v>
      </c>
      <c r="B1186" s="14" t="s">
        <v>118</v>
      </c>
      <c r="C1186" s="14" t="s">
        <v>132</v>
      </c>
      <c r="G1186" s="17"/>
    </row>
    <row r="1187" spans="1:7" ht="15" customHeight="1" x14ac:dyDescent="0.35">
      <c r="A1187" s="13">
        <v>70853</v>
      </c>
      <c r="B1187" s="14" t="s">
        <v>118</v>
      </c>
      <c r="C1187" s="14" t="s">
        <v>129</v>
      </c>
    </row>
    <row r="1188" spans="1:7" ht="15" customHeight="1" x14ac:dyDescent="0.35">
      <c r="A1188" s="15">
        <v>70860</v>
      </c>
      <c r="B1188" s="16" t="s">
        <v>118</v>
      </c>
      <c r="C1188" s="16" t="s">
        <v>115</v>
      </c>
    </row>
    <row r="1189" spans="1:7" ht="15" customHeight="1" x14ac:dyDescent="0.35">
      <c r="A1189" s="15">
        <v>70905</v>
      </c>
      <c r="B1189" s="16" t="s">
        <v>114</v>
      </c>
      <c r="C1189" s="16" t="s">
        <v>116</v>
      </c>
    </row>
    <row r="1190" spans="1:7" ht="15" customHeight="1" x14ac:dyDescent="0.35">
      <c r="A1190" s="15">
        <v>70906</v>
      </c>
      <c r="B1190" s="16" t="s">
        <v>117</v>
      </c>
      <c r="C1190" s="16" t="s">
        <v>116</v>
      </c>
    </row>
    <row r="1191" spans="1:7" ht="15" customHeight="1" x14ac:dyDescent="0.35">
      <c r="A1191" s="15">
        <v>70951</v>
      </c>
      <c r="B1191" s="16" t="s">
        <v>118</v>
      </c>
      <c r="C1191" s="16" t="s">
        <v>119</v>
      </c>
    </row>
    <row r="1192" spans="1:7" ht="15" customHeight="1" x14ac:dyDescent="0.35">
      <c r="A1192" s="15">
        <v>70970</v>
      </c>
      <c r="B1192" s="16" t="s">
        <v>131</v>
      </c>
      <c r="C1192" s="16" t="s">
        <v>121</v>
      </c>
    </row>
    <row r="1193" spans="1:7" ht="15" customHeight="1" x14ac:dyDescent="0.35">
      <c r="A1193" s="15">
        <v>70980</v>
      </c>
      <c r="B1193" s="16" t="s">
        <v>120</v>
      </c>
      <c r="C1193" s="16" t="s">
        <v>122</v>
      </c>
    </row>
    <row r="1194" spans="1:7" ht="15" customHeight="1" x14ac:dyDescent="0.35">
      <c r="A1194" s="15">
        <v>71013</v>
      </c>
      <c r="B1194" s="16" t="s">
        <v>123</v>
      </c>
      <c r="C1194" s="16" t="s">
        <v>124</v>
      </c>
    </row>
    <row r="1195" spans="1:7" ht="15" customHeight="1" x14ac:dyDescent="0.35">
      <c r="A1195" s="15">
        <v>71109</v>
      </c>
      <c r="B1195" s="16" t="s">
        <v>117</v>
      </c>
      <c r="C1195" s="16" t="s">
        <v>125</v>
      </c>
    </row>
    <row r="1196" spans="1:7" ht="15" customHeight="1" x14ac:dyDescent="0.35">
      <c r="A1196" s="15">
        <v>71144</v>
      </c>
      <c r="B1196" s="16" t="s">
        <v>117</v>
      </c>
      <c r="C1196" s="16" t="s">
        <v>126</v>
      </c>
    </row>
    <row r="1197" spans="1:7" ht="15" customHeight="1" x14ac:dyDescent="0.35">
      <c r="A1197" s="15">
        <v>71165</v>
      </c>
      <c r="B1197" s="16" t="s">
        <v>117</v>
      </c>
      <c r="C1197" s="16" t="s">
        <v>127</v>
      </c>
    </row>
    <row r="1198" spans="1:7" ht="15" customHeight="1" x14ac:dyDescent="0.35">
      <c r="A1198" s="15">
        <v>71178</v>
      </c>
      <c r="B1198" s="16" t="s">
        <v>114</v>
      </c>
      <c r="C1198" s="16" t="s">
        <v>128</v>
      </c>
    </row>
    <row r="1199" spans="1:7" ht="15" customHeight="1" x14ac:dyDescent="0.35">
      <c r="A1199" s="15">
        <v>71183</v>
      </c>
      <c r="B1199" s="16" t="s">
        <v>120</v>
      </c>
      <c r="C1199" s="16" t="s">
        <v>132</v>
      </c>
      <c r="G1199" s="17"/>
    </row>
    <row r="1200" spans="1:7" ht="15" customHeight="1" x14ac:dyDescent="0.35">
      <c r="A1200" s="15">
        <v>71218</v>
      </c>
      <c r="B1200" s="16" t="s">
        <v>120</v>
      </c>
      <c r="C1200" s="16" t="s">
        <v>129</v>
      </c>
    </row>
    <row r="1201" spans="1:7" ht="15" customHeight="1" x14ac:dyDescent="0.35">
      <c r="A1201" s="13">
        <v>71225</v>
      </c>
      <c r="B1201" s="14" t="s">
        <v>120</v>
      </c>
      <c r="C1201" s="14" t="s">
        <v>115</v>
      </c>
    </row>
    <row r="1202" spans="1:7" ht="15" customHeight="1" x14ac:dyDescent="0.35">
      <c r="A1202" s="13">
        <v>71290</v>
      </c>
      <c r="B1202" s="14" t="s">
        <v>114</v>
      </c>
      <c r="C1202" s="14" t="s">
        <v>116</v>
      </c>
    </row>
    <row r="1203" spans="1:7" ht="15" customHeight="1" x14ac:dyDescent="0.35">
      <c r="A1203" s="13">
        <v>71291</v>
      </c>
      <c r="B1203" s="14" t="s">
        <v>117</v>
      </c>
      <c r="C1203" s="14" t="s">
        <v>116</v>
      </c>
    </row>
    <row r="1204" spans="1:7" ht="15" customHeight="1" x14ac:dyDescent="0.35">
      <c r="A1204" s="13">
        <v>71335</v>
      </c>
      <c r="B1204" s="14" t="s">
        <v>123</v>
      </c>
      <c r="C1204" s="14" t="s">
        <v>121</v>
      </c>
    </row>
    <row r="1205" spans="1:7" ht="15" customHeight="1" x14ac:dyDescent="0.35">
      <c r="A1205" s="13">
        <v>71336</v>
      </c>
      <c r="B1205" s="14" t="s">
        <v>118</v>
      </c>
      <c r="C1205" s="14" t="s">
        <v>119</v>
      </c>
    </row>
    <row r="1206" spans="1:7" ht="15" customHeight="1" x14ac:dyDescent="0.35">
      <c r="A1206" s="13">
        <v>71345</v>
      </c>
      <c r="B1206" s="14" t="s">
        <v>130</v>
      </c>
      <c r="C1206" s="14" t="s">
        <v>122</v>
      </c>
    </row>
    <row r="1207" spans="1:7" ht="15" customHeight="1" x14ac:dyDescent="0.35">
      <c r="A1207" s="13">
        <v>71398</v>
      </c>
      <c r="B1207" s="14" t="s">
        <v>123</v>
      </c>
      <c r="C1207" s="14" t="s">
        <v>124</v>
      </c>
    </row>
    <row r="1208" spans="1:7" ht="15" customHeight="1" x14ac:dyDescent="0.35">
      <c r="A1208" s="13">
        <v>71474</v>
      </c>
      <c r="B1208" s="14" t="s">
        <v>131</v>
      </c>
      <c r="C1208" s="14" t="s">
        <v>125</v>
      </c>
    </row>
    <row r="1209" spans="1:7" ht="15" customHeight="1" x14ac:dyDescent="0.35">
      <c r="A1209" s="13">
        <v>71509</v>
      </c>
      <c r="B1209" s="14" t="s">
        <v>131</v>
      </c>
      <c r="C1209" s="14" t="s">
        <v>126</v>
      </c>
    </row>
    <row r="1210" spans="1:7" ht="15" customHeight="1" x14ac:dyDescent="0.35">
      <c r="A1210" s="13">
        <v>71530</v>
      </c>
      <c r="B1210" s="14" t="s">
        <v>131</v>
      </c>
      <c r="C1210" s="14" t="s">
        <v>127</v>
      </c>
    </row>
    <row r="1211" spans="1:7" ht="15" customHeight="1" x14ac:dyDescent="0.35">
      <c r="A1211" s="13">
        <v>71543</v>
      </c>
      <c r="B1211" s="14" t="s">
        <v>117</v>
      </c>
      <c r="C1211" s="14" t="s">
        <v>128</v>
      </c>
    </row>
    <row r="1212" spans="1:7" ht="15" customHeight="1" x14ac:dyDescent="0.35">
      <c r="A1212" s="13">
        <v>71548</v>
      </c>
      <c r="B1212" s="14" t="s">
        <v>130</v>
      </c>
      <c r="C1212" s="14" t="s">
        <v>132</v>
      </c>
      <c r="G1212" s="17"/>
    </row>
    <row r="1213" spans="1:7" ht="15" customHeight="1" x14ac:dyDescent="0.35">
      <c r="A1213" s="13">
        <v>71583</v>
      </c>
      <c r="B1213" s="14" t="s">
        <v>130</v>
      </c>
      <c r="C1213" s="14" t="s">
        <v>129</v>
      </c>
    </row>
    <row r="1214" spans="1:7" ht="15" customHeight="1" x14ac:dyDescent="0.35">
      <c r="A1214" s="15">
        <v>71590</v>
      </c>
      <c r="B1214" s="16" t="s">
        <v>130</v>
      </c>
      <c r="C1214" s="16" t="s">
        <v>115</v>
      </c>
    </row>
    <row r="1215" spans="1:7" ht="15" customHeight="1" x14ac:dyDescent="0.35">
      <c r="A1215" s="15">
        <v>71647</v>
      </c>
      <c r="B1215" s="16" t="s">
        <v>114</v>
      </c>
      <c r="C1215" s="16" t="s">
        <v>116</v>
      </c>
    </row>
    <row r="1216" spans="1:7" ht="15" customHeight="1" x14ac:dyDescent="0.35">
      <c r="A1216" s="15">
        <v>71648</v>
      </c>
      <c r="B1216" s="16" t="s">
        <v>117</v>
      </c>
      <c r="C1216" s="16" t="s">
        <v>116</v>
      </c>
    </row>
    <row r="1217" spans="1:7" ht="15" customHeight="1" x14ac:dyDescent="0.35">
      <c r="A1217" s="15">
        <v>71693</v>
      </c>
      <c r="B1217" s="16" t="s">
        <v>118</v>
      </c>
      <c r="C1217" s="16" t="s">
        <v>119</v>
      </c>
    </row>
    <row r="1218" spans="1:7" ht="15" customHeight="1" x14ac:dyDescent="0.35">
      <c r="A1218" s="15">
        <v>71701</v>
      </c>
      <c r="B1218" s="16" t="s">
        <v>120</v>
      </c>
      <c r="C1218" s="16" t="s">
        <v>121</v>
      </c>
    </row>
    <row r="1219" spans="1:7" ht="15" customHeight="1" x14ac:dyDescent="0.35">
      <c r="A1219" s="15">
        <v>71711</v>
      </c>
      <c r="B1219" s="16" t="s">
        <v>117</v>
      </c>
      <c r="C1219" s="16" t="s">
        <v>122</v>
      </c>
    </row>
    <row r="1220" spans="1:7" ht="15" customHeight="1" x14ac:dyDescent="0.35">
      <c r="A1220" s="15">
        <v>71755</v>
      </c>
      <c r="B1220" s="16" t="s">
        <v>123</v>
      </c>
      <c r="C1220" s="16" t="s">
        <v>124</v>
      </c>
    </row>
    <row r="1221" spans="1:7" ht="15" customHeight="1" x14ac:dyDescent="0.35">
      <c r="A1221" s="15">
        <v>71840</v>
      </c>
      <c r="B1221" s="16" t="s">
        <v>118</v>
      </c>
      <c r="C1221" s="16" t="s">
        <v>125</v>
      </c>
    </row>
    <row r="1222" spans="1:7" ht="15" customHeight="1" x14ac:dyDescent="0.35">
      <c r="A1222" s="15">
        <v>71875</v>
      </c>
      <c r="B1222" s="16" t="s">
        <v>118</v>
      </c>
      <c r="C1222" s="16" t="s">
        <v>126</v>
      </c>
    </row>
    <row r="1223" spans="1:7" ht="15" customHeight="1" x14ac:dyDescent="0.35">
      <c r="A1223" s="15">
        <v>71896</v>
      </c>
      <c r="B1223" s="16" t="s">
        <v>118</v>
      </c>
      <c r="C1223" s="16" t="s">
        <v>127</v>
      </c>
    </row>
    <row r="1224" spans="1:7" ht="15" customHeight="1" x14ac:dyDescent="0.35">
      <c r="A1224" s="15">
        <v>71909</v>
      </c>
      <c r="B1224" s="16" t="s">
        <v>123</v>
      </c>
      <c r="C1224" s="16" t="s">
        <v>128</v>
      </c>
    </row>
    <row r="1225" spans="1:7" ht="15" customHeight="1" x14ac:dyDescent="0.35">
      <c r="A1225" s="15">
        <v>71914</v>
      </c>
      <c r="B1225" s="16" t="s">
        <v>117</v>
      </c>
      <c r="C1225" s="16" t="s">
        <v>132</v>
      </c>
      <c r="G1225" s="17"/>
    </row>
    <row r="1226" spans="1:7" ht="15" customHeight="1" x14ac:dyDescent="0.35">
      <c r="A1226" s="15">
        <v>71949</v>
      </c>
      <c r="B1226" s="16" t="s">
        <v>117</v>
      </c>
      <c r="C1226" s="16" t="s">
        <v>129</v>
      </c>
    </row>
    <row r="1227" spans="1:7" ht="15" customHeight="1" x14ac:dyDescent="0.35">
      <c r="A1227" s="13">
        <v>71956</v>
      </c>
      <c r="B1227" s="14" t="s">
        <v>117</v>
      </c>
      <c r="C1227" s="14" t="s">
        <v>115</v>
      </c>
    </row>
    <row r="1228" spans="1:7" ht="15" customHeight="1" x14ac:dyDescent="0.35">
      <c r="A1228" s="13">
        <v>71997</v>
      </c>
      <c r="B1228" s="14" t="s">
        <v>114</v>
      </c>
      <c r="C1228" s="14" t="s">
        <v>116</v>
      </c>
    </row>
    <row r="1229" spans="1:7" ht="15" customHeight="1" x14ac:dyDescent="0.35">
      <c r="A1229" s="13">
        <v>71998</v>
      </c>
      <c r="B1229" s="14" t="s">
        <v>117</v>
      </c>
      <c r="C1229" s="14" t="s">
        <v>116</v>
      </c>
    </row>
    <row r="1230" spans="1:7" ht="15" customHeight="1" x14ac:dyDescent="0.35">
      <c r="A1230" s="13">
        <v>72043</v>
      </c>
      <c r="B1230" s="14" t="s">
        <v>118</v>
      </c>
      <c r="C1230" s="14" t="s">
        <v>119</v>
      </c>
    </row>
    <row r="1231" spans="1:7" ht="15" customHeight="1" x14ac:dyDescent="0.35">
      <c r="A1231" s="13">
        <v>72066</v>
      </c>
      <c r="B1231" s="14" t="s">
        <v>130</v>
      </c>
      <c r="C1231" s="14" t="s">
        <v>121</v>
      </c>
    </row>
    <row r="1232" spans="1:7" ht="15" customHeight="1" x14ac:dyDescent="0.35">
      <c r="A1232" s="13">
        <v>72076</v>
      </c>
      <c r="B1232" s="14" t="s">
        <v>131</v>
      </c>
      <c r="C1232" s="14" t="s">
        <v>122</v>
      </c>
    </row>
    <row r="1233" spans="1:7" ht="15" customHeight="1" x14ac:dyDescent="0.35">
      <c r="A1233" s="13">
        <v>72105</v>
      </c>
      <c r="B1233" s="14" t="s">
        <v>123</v>
      </c>
      <c r="C1233" s="14" t="s">
        <v>124</v>
      </c>
    </row>
    <row r="1234" spans="1:7" ht="15" customHeight="1" x14ac:dyDescent="0.35">
      <c r="A1234" s="13">
        <v>72205</v>
      </c>
      <c r="B1234" s="14" t="s">
        <v>120</v>
      </c>
      <c r="C1234" s="14" t="s">
        <v>125</v>
      </c>
    </row>
    <row r="1235" spans="1:7" ht="15" customHeight="1" x14ac:dyDescent="0.35">
      <c r="A1235" s="13">
        <v>72240</v>
      </c>
      <c r="B1235" s="14" t="s">
        <v>120</v>
      </c>
      <c r="C1235" s="14" t="s">
        <v>126</v>
      </c>
    </row>
    <row r="1236" spans="1:7" ht="15" customHeight="1" x14ac:dyDescent="0.35">
      <c r="A1236" s="13">
        <v>72261</v>
      </c>
      <c r="B1236" s="14" t="s">
        <v>120</v>
      </c>
      <c r="C1236" s="14" t="s">
        <v>127</v>
      </c>
    </row>
    <row r="1237" spans="1:7" ht="15" customHeight="1" x14ac:dyDescent="0.35">
      <c r="A1237" s="13">
        <v>72274</v>
      </c>
      <c r="B1237" s="14" t="s">
        <v>118</v>
      </c>
      <c r="C1237" s="14" t="s">
        <v>128</v>
      </c>
    </row>
    <row r="1238" spans="1:7" ht="15" customHeight="1" x14ac:dyDescent="0.35">
      <c r="A1238" s="13">
        <v>72279</v>
      </c>
      <c r="B1238" s="14" t="s">
        <v>131</v>
      </c>
      <c r="C1238" s="14" t="s">
        <v>132</v>
      </c>
      <c r="G1238" s="17"/>
    </row>
    <row r="1239" spans="1:7" ht="15" customHeight="1" x14ac:dyDescent="0.35">
      <c r="A1239" s="13">
        <v>72314</v>
      </c>
      <c r="B1239" s="14" t="s">
        <v>131</v>
      </c>
      <c r="C1239" s="14" t="s">
        <v>129</v>
      </c>
    </row>
    <row r="1240" spans="1:7" ht="15" customHeight="1" x14ac:dyDescent="0.35">
      <c r="A1240" s="15">
        <v>72321</v>
      </c>
      <c r="B1240" s="16" t="s">
        <v>131</v>
      </c>
      <c r="C1240" s="16" t="s">
        <v>115</v>
      </c>
    </row>
    <row r="1241" spans="1:7" ht="15" customHeight="1" x14ac:dyDescent="0.35">
      <c r="A1241" s="15">
        <v>72382</v>
      </c>
      <c r="B1241" s="16" t="s">
        <v>114</v>
      </c>
      <c r="C1241" s="16" t="s">
        <v>116</v>
      </c>
    </row>
    <row r="1242" spans="1:7" ht="15" customHeight="1" x14ac:dyDescent="0.35">
      <c r="A1242" s="15">
        <v>72383</v>
      </c>
      <c r="B1242" s="16" t="s">
        <v>117</v>
      </c>
      <c r="C1242" s="16" t="s">
        <v>116</v>
      </c>
    </row>
    <row r="1243" spans="1:7" ht="15" customHeight="1" x14ac:dyDescent="0.35">
      <c r="A1243" s="15">
        <v>72428</v>
      </c>
      <c r="B1243" s="16" t="s">
        <v>118</v>
      </c>
      <c r="C1243" s="16" t="s">
        <v>119</v>
      </c>
    </row>
    <row r="1244" spans="1:7" ht="15" customHeight="1" x14ac:dyDescent="0.35">
      <c r="A1244" s="15">
        <v>72431</v>
      </c>
      <c r="B1244" s="16" t="s">
        <v>114</v>
      </c>
      <c r="C1244" s="16" t="s">
        <v>121</v>
      </c>
    </row>
    <row r="1245" spans="1:7" ht="15" customHeight="1" x14ac:dyDescent="0.35">
      <c r="A1245" s="15">
        <v>72441</v>
      </c>
      <c r="B1245" s="16" t="s">
        <v>123</v>
      </c>
      <c r="C1245" s="16" t="s">
        <v>122</v>
      </c>
    </row>
    <row r="1246" spans="1:7" ht="15" customHeight="1" x14ac:dyDescent="0.35">
      <c r="A1246" s="15">
        <v>72490</v>
      </c>
      <c r="B1246" s="16" t="s">
        <v>123</v>
      </c>
      <c r="C1246" s="16" t="s">
        <v>124</v>
      </c>
    </row>
    <row r="1247" spans="1:7" ht="15" customHeight="1" x14ac:dyDescent="0.35">
      <c r="A1247" s="15">
        <v>72570</v>
      </c>
      <c r="B1247" s="16" t="s">
        <v>130</v>
      </c>
      <c r="C1247" s="16" t="s">
        <v>125</v>
      </c>
    </row>
    <row r="1248" spans="1:7" ht="15" customHeight="1" x14ac:dyDescent="0.35">
      <c r="A1248" s="15">
        <v>72605</v>
      </c>
      <c r="B1248" s="16" t="s">
        <v>130</v>
      </c>
      <c r="C1248" s="16" t="s">
        <v>126</v>
      </c>
    </row>
    <row r="1249" spans="1:7" ht="15" customHeight="1" x14ac:dyDescent="0.35">
      <c r="A1249" s="15">
        <v>72626</v>
      </c>
      <c r="B1249" s="16" t="s">
        <v>130</v>
      </c>
      <c r="C1249" s="16" t="s">
        <v>127</v>
      </c>
    </row>
    <row r="1250" spans="1:7" ht="15" customHeight="1" x14ac:dyDescent="0.35">
      <c r="A1250" s="15">
        <v>72639</v>
      </c>
      <c r="B1250" s="16" t="s">
        <v>120</v>
      </c>
      <c r="C1250" s="16" t="s">
        <v>128</v>
      </c>
    </row>
    <row r="1251" spans="1:7" ht="15" customHeight="1" x14ac:dyDescent="0.35">
      <c r="A1251" s="15">
        <v>72644</v>
      </c>
      <c r="B1251" s="16" t="s">
        <v>123</v>
      </c>
      <c r="C1251" s="16" t="s">
        <v>132</v>
      </c>
      <c r="G1251" s="17"/>
    </row>
    <row r="1252" spans="1:7" ht="15" customHeight="1" x14ac:dyDescent="0.35">
      <c r="A1252" s="15">
        <v>72679</v>
      </c>
      <c r="B1252" s="16" t="s">
        <v>123</v>
      </c>
      <c r="C1252" s="16" t="s">
        <v>129</v>
      </c>
    </row>
    <row r="1253" spans="1:7" ht="15" customHeight="1" x14ac:dyDescent="0.35">
      <c r="A1253" s="13">
        <v>72686</v>
      </c>
      <c r="B1253" s="14" t="s">
        <v>123</v>
      </c>
      <c r="C1253" s="14" t="s">
        <v>133</v>
      </c>
    </row>
    <row r="1254" spans="1:7" ht="15" customHeight="1" x14ac:dyDescent="0.35">
      <c r="A1254" s="13">
        <v>72739</v>
      </c>
      <c r="B1254" s="14" t="s">
        <v>114</v>
      </c>
      <c r="C1254" s="14" t="s">
        <v>116</v>
      </c>
    </row>
    <row r="1255" spans="1:7" ht="15" customHeight="1" x14ac:dyDescent="0.35">
      <c r="A1255" s="13">
        <v>72740</v>
      </c>
      <c r="B1255" s="14" t="s">
        <v>117</v>
      </c>
      <c r="C1255" s="14" t="s">
        <v>116</v>
      </c>
    </row>
    <row r="1256" spans="1:7" ht="15" customHeight="1" x14ac:dyDescent="0.35">
      <c r="A1256" s="13">
        <v>72785</v>
      </c>
      <c r="B1256" s="14" t="s">
        <v>118</v>
      </c>
      <c r="C1256" s="14" t="s">
        <v>119</v>
      </c>
    </row>
    <row r="1257" spans="1:7" ht="15" customHeight="1" x14ac:dyDescent="0.35">
      <c r="A1257" s="13">
        <v>72796</v>
      </c>
      <c r="B1257" s="14" t="s">
        <v>117</v>
      </c>
      <c r="C1257" s="14" t="s">
        <v>121</v>
      </c>
    </row>
    <row r="1258" spans="1:7" ht="15" customHeight="1" x14ac:dyDescent="0.35">
      <c r="A1258" s="13">
        <v>72806</v>
      </c>
      <c r="B1258" s="14" t="s">
        <v>118</v>
      </c>
      <c r="C1258" s="14" t="s">
        <v>122</v>
      </c>
    </row>
    <row r="1259" spans="1:7" ht="15" customHeight="1" x14ac:dyDescent="0.35">
      <c r="A1259" s="13">
        <v>72847</v>
      </c>
      <c r="B1259" s="14" t="s">
        <v>123</v>
      </c>
      <c r="C1259" s="14" t="s">
        <v>124</v>
      </c>
    </row>
    <row r="1260" spans="1:7" ht="15" customHeight="1" x14ac:dyDescent="0.35">
      <c r="A1260" s="13">
        <v>72935</v>
      </c>
      <c r="B1260" s="14" t="s">
        <v>114</v>
      </c>
      <c r="C1260" s="14" t="s">
        <v>125</v>
      </c>
    </row>
    <row r="1261" spans="1:7" ht="15" customHeight="1" x14ac:dyDescent="0.35">
      <c r="A1261" s="13">
        <v>72970</v>
      </c>
      <c r="B1261" s="14" t="s">
        <v>114</v>
      </c>
      <c r="C1261" s="14" t="s">
        <v>126</v>
      </c>
    </row>
    <row r="1262" spans="1:7" ht="15" customHeight="1" x14ac:dyDescent="0.35">
      <c r="A1262" s="13">
        <v>72991</v>
      </c>
      <c r="B1262" s="14" t="s">
        <v>114</v>
      </c>
      <c r="C1262" s="14" t="s">
        <v>127</v>
      </c>
    </row>
    <row r="1263" spans="1:7" ht="15" customHeight="1" x14ac:dyDescent="0.35">
      <c r="A1263" s="13">
        <v>73004</v>
      </c>
      <c r="B1263" s="14" t="s">
        <v>130</v>
      </c>
      <c r="C1263" s="14" t="s">
        <v>128</v>
      </c>
    </row>
    <row r="1264" spans="1:7" ht="15" customHeight="1" x14ac:dyDescent="0.35">
      <c r="A1264" s="13">
        <v>73009</v>
      </c>
      <c r="B1264" s="14" t="s">
        <v>118</v>
      </c>
      <c r="C1264" s="14" t="s">
        <v>132</v>
      </c>
    </row>
    <row r="1265" spans="1:3" ht="15" customHeight="1" x14ac:dyDescent="0.35">
      <c r="A1265" s="13">
        <v>73044</v>
      </c>
      <c r="B1265" s="14" t="s">
        <v>118</v>
      </c>
      <c r="C1265" s="14" t="s">
        <v>129</v>
      </c>
    </row>
    <row r="1266" spans="1:3" x14ac:dyDescent="0.25">
      <c r="A1266" s="18" t="s">
        <v>134</v>
      </c>
    </row>
    <row r="1267" spans="1:3" x14ac:dyDescent="0.25">
      <c r="A1267" s="19"/>
    </row>
    <row r="1268" spans="1:3" x14ac:dyDescent="0.25">
      <c r="A1268" s="20" t="s">
        <v>135</v>
      </c>
    </row>
    <row r="1269" spans="1:3" x14ac:dyDescent="0.25">
      <c r="A1269" s="19"/>
    </row>
    <row r="1270" spans="1:3" x14ac:dyDescent="0.25">
      <c r="A1270" s="20" t="s">
        <v>136</v>
      </c>
    </row>
    <row r="1271" spans="1:3" x14ac:dyDescent="0.25">
      <c r="A1271" s="19"/>
    </row>
    <row r="1272" spans="1:3" x14ac:dyDescent="0.25">
      <c r="A1272" s="20" t="s">
        <v>137</v>
      </c>
    </row>
    <row r="1273" spans="1:3" x14ac:dyDescent="0.25">
      <c r="A1273" s="19"/>
    </row>
    <row r="1274" spans="1:3" x14ac:dyDescent="0.25">
      <c r="A1274" s="20" t="s">
        <v>138</v>
      </c>
    </row>
  </sheetData>
  <autoFilter ref="A1:C1274" xr:uid="{00000000-0009-0000-0000-000004000000}"/>
  <pageMargins left="0.78740157499999996" right="0.78740157499999996" top="0.984251969" bottom="0.984251969" header="0.49212598499999999" footer="0.49212598499999999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57</vt:i4>
      </vt:variant>
    </vt:vector>
  </HeadingPairs>
  <TitlesOfParts>
    <vt:vector size="62" baseType="lpstr">
      <vt:lpstr>Painel</vt:lpstr>
      <vt:lpstr>Aux</vt:lpstr>
      <vt:lpstr>Motor</vt:lpstr>
      <vt:lpstr>Sensibilidades</vt:lpstr>
      <vt:lpstr>Feriados</vt:lpstr>
      <vt:lpstr>Ativo</vt:lpstr>
      <vt:lpstr>beta1_IPCA</vt:lpstr>
      <vt:lpstr>beta1_pre</vt:lpstr>
      <vt:lpstr>beta2_IPCA</vt:lpstr>
      <vt:lpstr>beta2_pre</vt:lpstr>
      <vt:lpstr>beta3_IPCA</vt:lpstr>
      <vt:lpstr>beta3_pre</vt:lpstr>
      <vt:lpstr>beta4_IPCA</vt:lpstr>
      <vt:lpstr>beta4_pre</vt:lpstr>
      <vt:lpstr>bullet_data</vt:lpstr>
      <vt:lpstr>eo_ate</vt:lpstr>
      <vt:lpstr>eo_de</vt:lpstr>
      <vt:lpstr>eo_pct</vt:lpstr>
      <vt:lpstr>eo_zera_data</vt:lpstr>
      <vt:lpstr>eo_zera_ncols</vt:lpstr>
      <vt:lpstr>eo_zera_npos</vt:lpstr>
      <vt:lpstr>feriado</vt:lpstr>
      <vt:lpstr>header_ativo</vt:lpstr>
      <vt:lpstr>in_acordo</vt:lpstr>
      <vt:lpstr>in_acordo_fator</vt:lpstr>
      <vt:lpstr>in_acordo_prazo</vt:lpstr>
      <vt:lpstr>in_causa</vt:lpstr>
      <vt:lpstr>in_corr_pre</vt:lpstr>
      <vt:lpstr>in_corr_pre_idx</vt:lpstr>
      <vt:lpstr>in_corr_prec_idx</vt:lpstr>
      <vt:lpstr>in_corr_prec_spread</vt:lpstr>
      <vt:lpstr>in_data_calculo</vt:lpstr>
      <vt:lpstr>in_data_inicio</vt:lpstr>
      <vt:lpstr>in_database</vt:lpstr>
      <vt:lpstr>in_e_precatorio</vt:lpstr>
      <vt:lpstr>in_eo_idx</vt:lpstr>
      <vt:lpstr>in_eo_on</vt:lpstr>
      <vt:lpstr>in_eo_spread</vt:lpstr>
      <vt:lpstr>in_eo2_mes</vt:lpstr>
      <vt:lpstr>in_eo2_valor</vt:lpstr>
      <vt:lpstr>in_face</vt:lpstr>
      <vt:lpstr>in_ipca_manual</vt:lpstr>
      <vt:lpstr>in_ipca_modo</vt:lpstr>
      <vt:lpstr>in_n_parcelas</vt:lpstr>
      <vt:lpstr>in_nome_credito</vt:lpstr>
      <vt:lpstr>in_pgto_modo</vt:lpstr>
      <vt:lpstr>in_prazo</vt:lpstr>
      <vt:lpstr>in_tir_alvo</vt:lpstr>
      <vt:lpstr>in_valor_pagar</vt:lpstr>
      <vt:lpstr>in_vira_meses</vt:lpstr>
      <vt:lpstr>label_ativo</vt:lpstr>
      <vt:lpstr>lambida1_IPCA</vt:lpstr>
      <vt:lpstr>lambida1_pre</vt:lpstr>
      <vt:lpstr>lambida2_IPCA</vt:lpstr>
      <vt:lpstr>lambida2_pre</vt:lpstr>
      <vt:lpstr>parc_data</vt:lpstr>
      <vt:lpstr>parc_valor</vt:lpstr>
      <vt:lpstr>sens_eof</vt:lpstr>
      <vt:lpstr>sens_prazo_abs</vt:lpstr>
      <vt:lpstr>sens_prazo_delta</vt:lpstr>
      <vt:lpstr>sens_pricef</vt:lpstr>
      <vt:lpstr>vira_data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Pacchini Lopes</dc:creator>
  <cp:lastModifiedBy>Gabriel Maia</cp:lastModifiedBy>
  <dcterms:created xsi:type="dcterms:W3CDTF">2025-03-27T22:30:54Z</dcterms:created>
  <dcterms:modified xsi:type="dcterms:W3CDTF">2026-07-04T18:48:09Z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067b95-3d91-442e-b8f7-ade4fffefa51_Enabled">
    <vt:lpwstr>true</vt:lpwstr>
  </property>
  <property fmtid="{D5CDD505-2E9C-101B-9397-08002B2CF9AE}" pid="3" name="MSIP_Label_72067b95-3d91-442e-b8f7-ade4fffefa51_SetDate">
    <vt:lpwstr>2025-10-08T21:46:48Z</vt:lpwstr>
  </property>
  <property fmtid="{D5CDD505-2E9C-101B-9397-08002B2CF9AE}" pid="4" name="MSIP_Label_72067b95-3d91-442e-b8f7-ade4fffefa51_Method">
    <vt:lpwstr>Privileged</vt:lpwstr>
  </property>
  <property fmtid="{D5CDD505-2E9C-101B-9397-08002B2CF9AE}" pid="5" name="MSIP_Label_72067b95-3d91-442e-b8f7-ade4fffefa51_Name">
    <vt:lpwstr>Confidencial</vt:lpwstr>
  </property>
  <property fmtid="{D5CDD505-2E9C-101B-9397-08002B2CF9AE}" pid="6" name="MSIP_Label_72067b95-3d91-442e-b8f7-ade4fffefa51_SiteId">
    <vt:lpwstr>1216a3c3-d062-4ac0-8268-9b9986a912b2</vt:lpwstr>
  </property>
  <property fmtid="{D5CDD505-2E9C-101B-9397-08002B2CF9AE}" pid="7" name="MSIP_Label_72067b95-3d91-442e-b8f7-ade4fffefa51_ActionId">
    <vt:lpwstr>54309284-4e06-425b-be79-b6527fbaf2b0</vt:lpwstr>
  </property>
  <property fmtid="{D5CDD505-2E9C-101B-9397-08002B2CF9AE}" pid="8" name="MSIP_Label_72067b95-3d91-442e-b8f7-ade4fffefa51_ContentBits">
    <vt:lpwstr>0</vt:lpwstr>
  </property>
  <property fmtid="{D5CDD505-2E9C-101B-9397-08002B2CF9AE}" pid="9" name="MSIP_Label_72067b95-3d91-442e-b8f7-ade4fffefa51_Tag">
    <vt:lpwstr>10, 0, 1, 1</vt:lpwstr>
  </property>
  <property fmtid="{D5CDD505-2E9C-101B-9397-08002B2CF9AE}" pid="10" name="ContentTypeId">
    <vt:lpwstr>0x010100979AE8353BCE0147864DB52856FCD643</vt:lpwstr>
  </property>
  <property fmtid="{D5CDD505-2E9C-101B-9397-08002B2CF9AE}" pid="11" name="_dlc_DocIdItemGuid">
    <vt:lpwstr>badcf7e3-f9b5-488f-b949-8ff08a985f1b</vt:lpwstr>
  </property>
  <property fmtid="{D5CDD505-2E9C-101B-9397-08002B2CF9AE}" pid="12" name="MediaServiceImageTags">
    <vt:lpwstr/>
  </property>
</Properties>
</file>